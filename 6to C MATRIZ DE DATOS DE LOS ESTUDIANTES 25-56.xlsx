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5567291-C5D6-493F-A589-FF61CA41565C}" xr6:coauthVersionLast="47" xr6:coauthVersionMax="47" xr10:uidLastSave="{00000000-0000-0000-0000-000000000000}"/>
  <bookViews>
    <workbookView xWindow="-108" yWindow="-108" windowWidth="23256" windowHeight="12456" xr2:uid="{A90AD026-BDCF-425E-B00E-5EB2B76B61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4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6" i="1"/>
</calcChain>
</file>

<file path=xl/sharedStrings.xml><?xml version="1.0" encoding="utf-8"?>
<sst xmlns="http://schemas.openxmlformats.org/spreadsheetml/2006/main" count="475" uniqueCount="365">
  <si>
    <t>Nº</t>
  </si>
  <si>
    <t xml:space="preserve">NOMBRES Y APELLIDOS DEL ESTUDIANTE </t>
  </si>
  <si>
    <t>Nº CÉDULA</t>
  </si>
  <si>
    <t>FECHA DE NACIMIENTO</t>
  </si>
  <si>
    <t>EDAD</t>
  </si>
  <si>
    <t>TIENE NN.EE ASOCIADA O NO A LA DISCAPACIDAD</t>
  </si>
  <si>
    <t>TIENE ALGUNA ENFERMEDAD</t>
  </si>
  <si>
    <t>DATOS DEL ESTUDIANTE</t>
  </si>
  <si>
    <t>NUMEROS TELEFÓNICOS</t>
  </si>
  <si>
    <t>DIRECCION DOMICILIARIA</t>
  </si>
  <si>
    <t>CORREO ELECTRONICO</t>
  </si>
  <si>
    <t xml:space="preserve">NUMEROS TELEFÓNICOS EN CASO DE EMERGENCIA </t>
  </si>
  <si>
    <t>DATOS DEL REPRESENTANTE LEGAL</t>
  </si>
  <si>
    <t>NOMBRE Y APELLIDO DE LA MADRE</t>
  </si>
  <si>
    <t>TELÉFONO</t>
  </si>
  <si>
    <t>NOMBRE Y APELLIDO DEL PADRE</t>
  </si>
  <si>
    <t xml:space="preserve">TIENE OTROS HEMANOS  EN LA INSTITUCIÓN  EN QUE AÑO Y PARALELO </t>
  </si>
  <si>
    <t xml:space="preserve">Nº DE CÉDULA </t>
  </si>
  <si>
    <t>DATOS DEL PADRE</t>
  </si>
  <si>
    <t>DATOS DE LA MADRE</t>
  </si>
  <si>
    <t>NOMBRES Y APELLIDOS DEL REPRESENTANTE LEGAL</t>
  </si>
  <si>
    <r>
      <t xml:space="preserve">
</t>
    </r>
    <r>
      <rPr>
        <sz val="18"/>
        <color theme="1"/>
        <rFont val="Castellar"/>
        <family val="1"/>
      </rPr>
      <t>UNIDAD EDUCATIVA FISCAL “CALDERÓN 2”</t>
    </r>
    <r>
      <rPr>
        <sz val="11"/>
        <color theme="1"/>
        <rFont val="Calibri"/>
        <family val="2"/>
        <scheme val="minor"/>
      </rPr>
      <t xml:space="preserve">
Calderón-Marianitas. Calle: Amalia Uriguen.   Teléfono: 023952300 ext.27930
</t>
    </r>
  </si>
  <si>
    <t>ALCIVAR MENDOZA AMY SOFIA</t>
  </si>
  <si>
    <t>ALMEIDA ANZATUÑA EMILY ANAHI</t>
  </si>
  <si>
    <t>ALMEIDA TACUAMAN DOMINIC JHARET</t>
  </si>
  <si>
    <t>ANDINO ORTIZ ERICK JACOBO</t>
  </si>
  <si>
    <t>ANTE SUAMBRA MELISSA</t>
  </si>
  <si>
    <t>CAMPOS ESPINOSA JUSTER KAIL</t>
  </si>
  <si>
    <t>CASTILLO ROJAS DOMINICK JAZIEL</t>
  </si>
  <si>
    <t>CEDEÑO PINANJOTA ARLETH SALOME</t>
  </si>
  <si>
    <t>CHILENO MEDINA CRISTOFER ALEJANDRO</t>
  </si>
  <si>
    <t>CHONTA LLUMITAXI ALISSON ESTEFANIA</t>
  </si>
  <si>
    <t>CISNEROS MORAN ALEJANDRO PAVEL</t>
  </si>
  <si>
    <t>ENCARNACION INFANTE TIFANY ESTHER</t>
  </si>
  <si>
    <t>FLORES ACERO CAMILA NOEMI</t>
  </si>
  <si>
    <t>GAGUY CABAY TAMIA MAYTE</t>
  </si>
  <si>
    <t>GODOY CEDEÑO SAMANTHA AITANA</t>
  </si>
  <si>
    <t>GUALOTO DIAZ SAMANTHA ESTEFANIA</t>
  </si>
  <si>
    <t>GUANOTASIG SANTIAK JAYDEEN JAACE</t>
  </si>
  <si>
    <t>GUAYANAY VINUEZA JHON ALEX</t>
  </si>
  <si>
    <t>GUERRON ROLDAN ANGEL SEBASTIAN</t>
  </si>
  <si>
    <t>HEREDIA TITUAÑA JHAIR ALEJANDRO</t>
  </si>
  <si>
    <t>IÑIGUEZ MORALES DEMY VALENTINA</t>
  </si>
  <si>
    <t>JARAMILLO ERAZO YERLIS NAHOMI</t>
  </si>
  <si>
    <t>LOVATO CEPEDA EITHAN SEBASTIAN</t>
  </si>
  <si>
    <t>MALES NARVAEZ DANDY FERNEY</t>
  </si>
  <si>
    <t>MERA POZO VALERIA MONSERRATH</t>
  </si>
  <si>
    <t>MORALES TULCANAZO DANDELAY MIA</t>
  </si>
  <si>
    <t>MUSGO MORALES SCARLETT ISABEL</t>
  </si>
  <si>
    <t>PALACIOS PIZARRO DOSTIN MIGUEL</t>
  </si>
  <si>
    <t>NOLIVOS LANAS BRYANA MAITE</t>
  </si>
  <si>
    <t>PERALTA ANRANGO ALEXANDER JAVIER</t>
  </si>
  <si>
    <t>QUIÑONEZ GARCIA DYLAN JESNER</t>
  </si>
  <si>
    <t>QUISHPE ANTE ALAN JOSUE</t>
  </si>
  <si>
    <t>ROBLES CARRION ANGELINE ISABELA</t>
  </si>
  <si>
    <t>ROSALES LOPEZ ISAAC ANDRES</t>
  </si>
  <si>
    <t>ROSERO LITARDO CRISTIAN DANIEL</t>
  </si>
  <si>
    <t>SANGUCHO AGUIRRE JHOAN SEBASTIAN</t>
  </si>
  <si>
    <t>SARZOSA CONTRERAS TYLER LEONEL</t>
  </si>
  <si>
    <t>SUAREZ GOMEZ VALESKA MALLERLY</t>
  </si>
  <si>
    <t>175689834-0</t>
  </si>
  <si>
    <t>175676831-1</t>
  </si>
  <si>
    <t>175681652-4</t>
  </si>
  <si>
    <t>0751138793</t>
  </si>
  <si>
    <t>175654545/3</t>
  </si>
  <si>
    <t>0851087916</t>
  </si>
  <si>
    <t xml:space="preserve">NO </t>
  </si>
  <si>
    <t xml:space="preserve">SI </t>
  </si>
  <si>
    <t>Bilirrubinas  altas</t>
  </si>
  <si>
    <t>No</t>
  </si>
  <si>
    <t xml:space="preserve">Juliza Liliana Mendoza García </t>
  </si>
  <si>
    <t>Ningúna</t>
  </si>
  <si>
    <t>Lourdes Amanda Anzatuña Chasi</t>
  </si>
  <si>
    <t>Tacuaman Carla</t>
  </si>
  <si>
    <t xml:space="preserve">Erika Samanta Ortiz Cortez </t>
  </si>
  <si>
    <t xml:space="preserve">Maria Augusta Rojas Jaramillo </t>
  </si>
  <si>
    <t>GLORIA ELIZABETH PINANJOTA CALUGULLIN</t>
  </si>
  <si>
    <t>Nataly Beatriz Medina Andagana</t>
  </si>
  <si>
    <t xml:space="preserve">Dayana Elizabeth Llumitaxi Quizhpi </t>
  </si>
  <si>
    <t>-</t>
  </si>
  <si>
    <t xml:space="preserve">Maria Rosa Moran Pineda </t>
  </si>
  <si>
    <t>172217973-4</t>
  </si>
  <si>
    <t xml:space="preserve">Ninguna </t>
  </si>
  <si>
    <t>MARY NARCISA INFANTE  CORDOVA</t>
  </si>
  <si>
    <t xml:space="preserve">GUADALUPE ACERO PINTO </t>
  </si>
  <si>
    <t>Sandy  Monserrst Cedeño P.</t>
  </si>
  <si>
    <t xml:space="preserve">Lidia Yolanda Diaz Guañuna </t>
  </si>
  <si>
    <t xml:space="preserve">SANTIAK TENTETS GENNI VERÓNICA </t>
  </si>
  <si>
    <t>no</t>
  </si>
  <si>
    <t xml:space="preserve">Vinueza Obando Laura Yolanda </t>
  </si>
  <si>
    <t>NO</t>
  </si>
  <si>
    <t>MÓNICA ALEXANDRA ROLDAN PATAJALO</t>
  </si>
  <si>
    <t xml:space="preserve">CRISTINA ALEXANDRA TITUAÑA CATOTA </t>
  </si>
  <si>
    <t xml:space="preserve">Gabriela Elizabeth Morales Gutiérrez </t>
  </si>
  <si>
    <t>Ninguna</t>
  </si>
  <si>
    <t>Carla Aracely Erazo Cheme</t>
  </si>
  <si>
    <t xml:space="preserve">MAURA AZUCENA CEPEDA PASPUEL </t>
  </si>
  <si>
    <t xml:space="preserve">Rosa Maria Narvaez Shiguango </t>
  </si>
  <si>
    <t>Tania  Jimena  Pozo  Quelal</t>
  </si>
  <si>
    <t xml:space="preserve">Graciela Silvana Tulcanazo Saca </t>
  </si>
  <si>
    <t xml:space="preserve">Nancy Alexandra Morales Ipiales </t>
  </si>
  <si>
    <t xml:space="preserve">WENDY MISHELLE LANAS VILLAVICENCIO </t>
  </si>
  <si>
    <t xml:space="preserve">Anrango Quiguango Valeria Elizabeth </t>
  </si>
  <si>
    <t>100395539-8</t>
  </si>
  <si>
    <t>MARIANA ALEXANDRA GARCIA TOBAR</t>
  </si>
  <si>
    <t xml:space="preserve">Jessica Paulina Ante Tamayo </t>
  </si>
  <si>
    <t xml:space="preserve">MARTHA LUCÍA ROBLES CARRION </t>
  </si>
  <si>
    <t>MERCY TERESA AGUIRRE HUGO</t>
  </si>
  <si>
    <t>Maritza Alejandra Contreras España</t>
  </si>
  <si>
    <t>0804445245</t>
  </si>
  <si>
    <t xml:space="preserve">dayanallumitaxi2002@gmail.com </t>
  </si>
  <si>
    <t>0995106209 Ana María Quizhpi (abuelita)</t>
  </si>
  <si>
    <t>0939591924</t>
  </si>
  <si>
    <t>0995473515</t>
  </si>
  <si>
    <t>0980029834</t>
  </si>
  <si>
    <t>0992511709</t>
  </si>
  <si>
    <t>0987480865</t>
  </si>
  <si>
    <t>0987778599</t>
  </si>
  <si>
    <t>0987337221</t>
  </si>
  <si>
    <t>0987940062</t>
  </si>
  <si>
    <t>0983185486</t>
  </si>
  <si>
    <t>0986802708</t>
  </si>
  <si>
    <t>0980608424</t>
  </si>
  <si>
    <t>0995124651</t>
  </si>
  <si>
    <t>0995469857</t>
  </si>
  <si>
    <t>0983230197</t>
  </si>
  <si>
    <t>0984808981</t>
  </si>
  <si>
    <t>0992273164</t>
  </si>
  <si>
    <t>0994443792</t>
  </si>
  <si>
    <t>0994717134</t>
  </si>
  <si>
    <t>0993469533</t>
  </si>
  <si>
    <t>0995790279</t>
  </si>
  <si>
    <t>0988867416</t>
  </si>
  <si>
    <t>0989108076</t>
  </si>
  <si>
    <t>0989085450</t>
  </si>
  <si>
    <t>0996426432</t>
  </si>
  <si>
    <t>0989148309</t>
  </si>
  <si>
    <t>0991940221</t>
  </si>
  <si>
    <t>0993128849</t>
  </si>
  <si>
    <t>0969414521</t>
  </si>
  <si>
    <t>0995384573</t>
  </si>
  <si>
    <t>0989721515</t>
  </si>
  <si>
    <t xml:space="preserve">Guido bienvenido alcivar Moreira </t>
  </si>
  <si>
    <t xml:space="preserve">Diego Armando Almeida Andrade </t>
  </si>
  <si>
    <t>EITER EUCLIDES CEDEÑO INTRIAGO</t>
  </si>
  <si>
    <t xml:space="preserve">Chileno Quinaloa Edwin Bladimir </t>
  </si>
  <si>
    <t>Roberto Cisneros Pineda</t>
  </si>
  <si>
    <t xml:space="preserve">JUAN CARLOS ENCARNACIÓN SÁNCHEZ </t>
  </si>
  <si>
    <t xml:space="preserve">RAFAEL FLORES </t>
  </si>
  <si>
    <t>Edison Maximiliano Godoy Quezada</t>
  </si>
  <si>
    <t>Ivan Patricio Gualoto Quisilema</t>
  </si>
  <si>
    <t xml:space="preserve">GUANOTASIG PADILLA MILTON RODRIGO </t>
  </si>
  <si>
    <t>Guayanay Calva Wilian Bernardo</t>
  </si>
  <si>
    <t xml:space="preserve">OSCAR EDUARDO GUERRON VIANA </t>
  </si>
  <si>
    <t xml:space="preserve">LUIS MARCOS HEREDIA MOROCHO </t>
  </si>
  <si>
    <t xml:space="preserve">Marlon Hianarino Iñiguez López </t>
  </si>
  <si>
    <t xml:space="preserve">José Luis Jaramillo Jaramillo </t>
  </si>
  <si>
    <t xml:space="preserve">FERNANDO TARCISIO LOVATO ANTE </t>
  </si>
  <si>
    <t xml:space="preserve">Luis Humberto Males Cotacachi </t>
  </si>
  <si>
    <t>Julio Cevastian  Mera  Chilan</t>
  </si>
  <si>
    <t xml:space="preserve">JUAN CARLOS NOLIVOS BUNCES </t>
  </si>
  <si>
    <t xml:space="preserve">Peralta Peralta Luis Javier </t>
  </si>
  <si>
    <t>CARLOS ROBERTO QUIÑONEZ GARCIA</t>
  </si>
  <si>
    <t xml:space="preserve">Néstor Gerardo Quishpe pastuña </t>
  </si>
  <si>
    <t>Arturo Adalberto rosero toro</t>
  </si>
  <si>
    <t>VICENTE SANGUCHO LEMA</t>
  </si>
  <si>
    <t xml:space="preserve">Marco Vinicio Sarzosa Guerrero </t>
  </si>
  <si>
    <t>0202379871</t>
  </si>
  <si>
    <t>172161188-6</t>
  </si>
  <si>
    <t>0603745589</t>
  </si>
  <si>
    <t>0401047501</t>
  </si>
  <si>
    <t>0401565981</t>
  </si>
  <si>
    <t>0503928137</t>
  </si>
  <si>
    <t>172614587/1</t>
  </si>
  <si>
    <t>0980440464</t>
  </si>
  <si>
    <t>0984328542</t>
  </si>
  <si>
    <t>0995009011</t>
  </si>
  <si>
    <t>0987306467</t>
  </si>
  <si>
    <t>0992926882</t>
  </si>
  <si>
    <t>0995284080</t>
  </si>
  <si>
    <t>0984381959</t>
  </si>
  <si>
    <t>0988071526</t>
  </si>
  <si>
    <t>0981564793</t>
  </si>
  <si>
    <t>0998442187</t>
  </si>
  <si>
    <t>0992647459</t>
  </si>
  <si>
    <t>0958853295</t>
  </si>
  <si>
    <t>0988383879</t>
  </si>
  <si>
    <t>0986734087</t>
  </si>
  <si>
    <t>0958872444</t>
  </si>
  <si>
    <t>0999137891</t>
  </si>
  <si>
    <t xml:space="preserve">Francisco Javier Andino Estrada </t>
  </si>
  <si>
    <t>Almeida William</t>
  </si>
  <si>
    <t xml:space="preserve">Juliza Mendoza </t>
  </si>
  <si>
    <t xml:space="preserve">Lourdes Anzatuña </t>
  </si>
  <si>
    <t>Carla Tacuaman</t>
  </si>
  <si>
    <t xml:space="preserve">Erika Ortiz </t>
  </si>
  <si>
    <t xml:space="preserve">Melania Jaramillo </t>
  </si>
  <si>
    <t>GLORIA ELIZABETH PINANJOTA CALUGUILLIN</t>
  </si>
  <si>
    <t xml:space="preserve">Nataly Medina </t>
  </si>
  <si>
    <t xml:space="preserve">Dayana Llumitaxi </t>
  </si>
  <si>
    <t xml:space="preserve">Mary Infante </t>
  </si>
  <si>
    <t xml:space="preserve">Sandy Monserrat Cedeño </t>
  </si>
  <si>
    <t xml:space="preserve">GENNI SANTIAK </t>
  </si>
  <si>
    <t>Vinueza Obando Laura Yolanda</t>
  </si>
  <si>
    <t xml:space="preserve">CRISTINA ALEXANDRA TITUAÑA </t>
  </si>
  <si>
    <t xml:space="preserve">Carla Erazo </t>
  </si>
  <si>
    <t>Tania  Pozo</t>
  </si>
  <si>
    <t xml:space="preserve">Nancy Morales </t>
  </si>
  <si>
    <t xml:space="preserve">Valeria Anrango </t>
  </si>
  <si>
    <t>ALEXANDRA GARCIA</t>
  </si>
  <si>
    <t xml:space="preserve">Agustín guerrero y aguila imperial </t>
  </si>
  <si>
    <t>Calderón-Marianitas-Cabuyal</t>
  </si>
  <si>
    <t>Zabala, de los Gavilanes n7-81 y los flamencos</t>
  </si>
  <si>
    <t xml:space="preserve">Madrid y abdon calderon </t>
  </si>
  <si>
    <t>Zabala, De los Carpinteros</t>
  </si>
  <si>
    <t>Zabala -Alondras y Carpinteros</t>
  </si>
  <si>
    <t>LOS ARRIEROS Y LOS QUINDES  CJ.VALENCIANA CASA 60</t>
  </si>
  <si>
    <t>Calderón Bellavista barrio Cristo Rey</t>
  </si>
  <si>
    <t>BARRIO LOS EUCALIPTOS CALLE ATAHUALPA AVENIDA ALEJANDRO CRESPO</t>
  </si>
  <si>
    <t xml:space="preserve">ZABALA </t>
  </si>
  <si>
    <t>Atahualpa y arrieros huertos familiares casa 85</t>
  </si>
  <si>
    <t xml:space="preserve">Calderón, barrio clavel #2 Arupos N4-235 y Concordia </t>
  </si>
  <si>
    <t>CALDERON GEONANNY CALLES- VICENTE PAREDES</t>
  </si>
  <si>
    <t>VIRGEN DE MONSERRAT Y EFRAIN ARMAS</t>
  </si>
  <si>
    <t>Geovanni Calles y Marianas E2-408</t>
  </si>
  <si>
    <t>carlaerazo0913@gmail.com</t>
  </si>
  <si>
    <t>arcisainfante9119@gmail.com</t>
  </si>
  <si>
    <t>0986892708/ 0981107634</t>
  </si>
  <si>
    <t>0997923902/ 0989220796</t>
  </si>
  <si>
    <t>CONDOR Y AMAZILIAS N3 BARRIO MONSERRATH</t>
  </si>
  <si>
    <t>pozotnia@gmail.com</t>
  </si>
  <si>
    <t xml:space="preserve">10mo </t>
  </si>
  <si>
    <t>lulitanegrita@hotmail.com</t>
  </si>
  <si>
    <t>amysofiaalcivarmendoza@gmail.com</t>
  </si>
  <si>
    <t>alejacristel187@gmail.com</t>
  </si>
  <si>
    <t xml:space="preserve">9NO C </t>
  </si>
  <si>
    <t>samanta.11@live.com</t>
  </si>
  <si>
    <t>CALLE HERMANO MIGUEL Y AMELIA ENRIQUEZ N10</t>
  </si>
  <si>
    <t>nataly1994b@hotmail.com</t>
  </si>
  <si>
    <t>0987480865/0994021936</t>
  </si>
  <si>
    <t>ZABALA CALLE LOS ARRIEROS ENTRE LOS HUIRAGCGUROS Y AMALIA URUGUEN</t>
  </si>
  <si>
    <t>donaelitojr@gmail.com</t>
  </si>
  <si>
    <t xml:space="preserve">8VO Y 1ERO DE BASICA </t>
  </si>
  <si>
    <t>CABAY POMAQUIZA LAURA MARGARITA</t>
  </si>
  <si>
    <t>SAN JOSE DE MORAN CALLE CARLOS MANTILLA Y PASAJE MENDOSA</t>
  </si>
  <si>
    <t>magui25cabay@gmail.com</t>
  </si>
  <si>
    <t>O603631433</t>
  </si>
  <si>
    <t>GAGUY PARAPI  JUAN FERNANDO</t>
  </si>
  <si>
    <t>1RO BGU</t>
  </si>
  <si>
    <t xml:space="preserve">San Juan de Calderon Isidro el labrador y daniel Puebla </t>
  </si>
  <si>
    <t>vinuezalaura97@gmail.com</t>
  </si>
  <si>
    <t xml:space="preserve">1eo BGU </t>
  </si>
  <si>
    <t xml:space="preserve">Carlos Mantilla Calle 6 de enero Barrio Tajamar </t>
  </si>
  <si>
    <t>anrangovaleria507@gmail.com</t>
  </si>
  <si>
    <t>gracielatulcanazo@gmail.com</t>
  </si>
  <si>
    <t xml:space="preserve">3RO EGB C </t>
  </si>
  <si>
    <t>0989108076/022021041</t>
  </si>
  <si>
    <t>nancyalexamorales.92@hotmail.com</t>
  </si>
  <si>
    <t>0999817790/0985719355</t>
  </si>
  <si>
    <t xml:space="preserve">María Rosa Moran Pineda  </t>
  </si>
  <si>
    <t>rouspavel86@gmail.com</t>
  </si>
  <si>
    <t>0983185486/0998810920</t>
  </si>
  <si>
    <t xml:space="preserve">9no ANO </t>
  </si>
  <si>
    <t>Angela Litardo Ruiz</t>
  </si>
  <si>
    <t>litardoangela61@gmail.com</t>
  </si>
  <si>
    <t>0958872444/3256068</t>
  </si>
  <si>
    <t>Angela Liliana Litardo Ruiz</t>
  </si>
  <si>
    <t xml:space="preserve">Acero Pinto Rosario Guadalupe </t>
  </si>
  <si>
    <t>rosariopinto1234@gmail.com</t>
  </si>
  <si>
    <t>0980608424/0993694921</t>
  </si>
  <si>
    <t>Sector Bella Vista Barrio El bosque 4/ lote 19/4calle Luis Murillo y hurtado</t>
  </si>
  <si>
    <t>mauracepeda075@gmail.com</t>
  </si>
  <si>
    <t>0992647459/ 0993469533</t>
  </si>
  <si>
    <t>monicaalexa271096@gmail.com</t>
  </si>
  <si>
    <t>Calles GEOVANNY CALLES Y ERNESTO QUEZADA</t>
  </si>
  <si>
    <t xml:space="preserve">3ro de básica </t>
  </si>
  <si>
    <t>GOMEZ TENORIO GLADYS GABRIELA</t>
  </si>
  <si>
    <t xml:space="preserve">BELLAVISTA DE CALDERON </t>
  </si>
  <si>
    <t>suarezvaleska318@gmail.com</t>
  </si>
  <si>
    <t xml:space="preserve">GOMEZ TENORIO GABRIELA </t>
  </si>
  <si>
    <t>BARRIO ZABALA CALLE LOS QUINDES CONJUNTO VALENCIANA 3 CASA 109</t>
  </si>
  <si>
    <t xml:space="preserve">8VO B, 3ERO B Y 1RO DE BASICA </t>
  </si>
  <si>
    <t xml:space="preserve"> ZABALA, DE LOS GAVILANES Y DE LOS HUIRAGCHUROS</t>
  </si>
  <si>
    <t>wendy.lanas@hotmail.com</t>
  </si>
  <si>
    <t xml:space="preserve">Suárez Nazareno Félix Rodolfo  </t>
  </si>
  <si>
    <t>098 608 1117</t>
  </si>
  <si>
    <t>0987778599 - 0995009011</t>
  </si>
  <si>
    <t>BARRIO REINA DEL CISNE CALLE DE LAS AMAZILIAS E7-273 Y DE LOS FAISANES</t>
  </si>
  <si>
    <t>elipinanjota10@gmail.com</t>
  </si>
  <si>
    <t xml:space="preserve">2DO A  EGB </t>
  </si>
  <si>
    <t xml:space="preserve">KAROL MICHELLE PIZARRO VACA </t>
  </si>
  <si>
    <t>BELLAVISTA, DANIEL MONTOYA Y GONZALO CORDOVA</t>
  </si>
  <si>
    <t>karolmpv269@gmail.com</t>
  </si>
  <si>
    <t>0987424549 - 0962547500 - 0994647634</t>
  </si>
  <si>
    <t>KAROL MICHELLE PIZARRO VACA</t>
  </si>
  <si>
    <t>MIGUEL ÁNGEL PALACIOS CUASPUD</t>
  </si>
  <si>
    <t xml:space="preserve">3RO C  GBU </t>
  </si>
  <si>
    <t>SAN JUAN  DE CALDERÓN  BARRIO  PACPO SIGLO XXI</t>
  </si>
  <si>
    <t>nathaliahermosa9@gmail.com</t>
  </si>
  <si>
    <t>O999417995</t>
  </si>
  <si>
    <t>mercyaguirre548@gmail.com</t>
  </si>
  <si>
    <t>veronicatentets784@gmail.com</t>
  </si>
  <si>
    <t>San Ignacio segunda etapa Zavala</t>
  </si>
  <si>
    <t>O939985484</t>
  </si>
  <si>
    <t>SEGUNDO “B”, DECIMO “D”</t>
  </si>
  <si>
    <t>AMALIA URIGEN Y FRANCISCO DE ALBORNOZ – CONJUNTO MARIANITAS</t>
  </si>
  <si>
    <t>sandymonserratecedeno@gmail.com</t>
  </si>
  <si>
    <t xml:space="preserve">7MO EGB </t>
  </si>
  <si>
    <t>JESSICA PAULINA ANTE TAMAYO</t>
  </si>
  <si>
    <t>098 914 8309</t>
  </si>
  <si>
    <t>Colinas de valle urbanización San Felipe</t>
  </si>
  <si>
    <t xml:space="preserve">antejessica2@gmail.com </t>
  </si>
  <si>
    <t xml:space="preserve">098 914 83 09 </t>
  </si>
  <si>
    <t>Lourdes Clemencia Lopez Cobagango</t>
  </si>
  <si>
    <t>Calle Atahualpay piquero sector zabala</t>
  </si>
  <si>
    <t>Lourdes López</t>
  </si>
  <si>
    <t>O995798792</t>
  </si>
  <si>
    <t>Jonathan Marcelo Rosales Rosales</t>
  </si>
  <si>
    <t>MARCO VINICIO SARZOSA GUERRERO</t>
  </si>
  <si>
    <t>171401925-2</t>
  </si>
  <si>
    <t xml:space="preserve">BARRIO ESPERANZA Y PROGRESO CALLÉ BRUCELAS LOTE 62 Y DAMASCO </t>
  </si>
  <si>
    <t>marvin1s82_@hotmail.com</t>
  </si>
  <si>
    <t>2064160 / 0958998096</t>
  </si>
  <si>
    <t xml:space="preserve">2DO B </t>
  </si>
  <si>
    <t>SUAMBRA CHUMAP ROSA MARIBEL</t>
  </si>
  <si>
    <t>.0987689045</t>
  </si>
  <si>
    <t>ANTE TAMAYO NELSON GIOVANNI</t>
  </si>
  <si>
    <t>maribelsuambra20@gmail.com</t>
  </si>
  <si>
    <t>.LLANO GRANDE GRACIA MORENO</t>
  </si>
  <si>
    <t>939022965/ 0987689045</t>
  </si>
  <si>
    <t>karlita06.garcia@gmail.com</t>
  </si>
  <si>
    <t>09988383879-0979285506- 0996426432- 0982322076</t>
  </si>
  <si>
    <t>3ro de GBU</t>
  </si>
  <si>
    <t>9no A</t>
  </si>
  <si>
    <t xml:space="preserve"> San Juan de Calderón/ calle Luis tufiño y Isidro labrador </t>
  </si>
  <si>
    <t>gabymorales1991@hotmail.com</t>
  </si>
  <si>
    <t>09 98 882 4637/ 0 99 040 2522/0994717134</t>
  </si>
  <si>
    <t>099 470 5815/ 0 99 040 2522</t>
  </si>
  <si>
    <t>jonathanmarcelo2016@gmail.com</t>
  </si>
  <si>
    <t>yd623322@gmail.com</t>
  </si>
  <si>
    <t>ROSA MARÍA NARVAEZ SHIGUANGO</t>
  </si>
  <si>
    <t>098 637 4947</t>
  </si>
  <si>
    <t>AMALIA URIGUEN - PASAJE 5</t>
  </si>
  <si>
    <t>rosit12narvaez@gmail.com</t>
  </si>
  <si>
    <t xml:space="preserve">096 364 2911/096 361 1692 </t>
  </si>
  <si>
    <t>096 364 2911</t>
  </si>
  <si>
    <t>PARALELO: C</t>
  </si>
  <si>
    <t xml:space="preserve"> BENITO DE JESÚS JAYA</t>
  </si>
  <si>
    <t>O999045119</t>
  </si>
  <si>
    <t>O500849732</t>
  </si>
  <si>
    <t>O804445246</t>
  </si>
  <si>
    <t>O922490917</t>
  </si>
  <si>
    <t>O401584180</t>
  </si>
  <si>
    <t>O751027459</t>
  </si>
  <si>
    <t>benitojaya@yahoo.es</t>
  </si>
  <si>
    <t>0999045119   0991940221</t>
  </si>
  <si>
    <t xml:space="preserve">Joselin Estefania Ramos Aldaz </t>
  </si>
  <si>
    <t xml:space="preserve">San Juan Bellavista </t>
  </si>
  <si>
    <t>tefyaldaz1997@gmail.com</t>
  </si>
  <si>
    <r>
      <t xml:space="preserve">VELASCO RAMOS </t>
    </r>
    <r>
      <rPr>
        <sz val="9"/>
        <rFont val="Calibri"/>
        <family val="2"/>
        <scheme val="minor"/>
      </rPr>
      <t>ESTEBAN</t>
    </r>
    <r>
      <rPr>
        <b/>
        <sz val="9"/>
        <color rgb="FFFF0000"/>
        <rFont val="Calibri"/>
        <family val="2"/>
        <scheme val="minor"/>
      </rPr>
      <t xml:space="preserve"> </t>
    </r>
    <r>
      <rPr>
        <sz val="9"/>
        <color rgb="FF000000"/>
        <rFont val="Calibri"/>
        <family val="2"/>
        <scheme val="minor"/>
      </rPr>
      <t>ALEXANDER</t>
    </r>
  </si>
  <si>
    <t>Silvia Espinosa</t>
  </si>
  <si>
    <t>Calle Idependencia lote 4 Mrtin Licango</t>
  </si>
  <si>
    <t>Hendry Campos</t>
  </si>
  <si>
    <t>GRADO O CURSO: 6TO EGB</t>
  </si>
  <si>
    <t>NOMBRE DEL DOCENTE TUTOR: LCDO KLEVER YANEZ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</si>
</sst>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8"/>
      <color theme="1"/>
      <name val="Castellar"/>
      <family val="1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CEBEB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Protection="1">
      <protection locked="0"/>
    </xf>
    <xf numFmtId="0" fontId="2" fillId="4" borderId="1" xfId="0" applyFont="1" applyFill="1" applyBorder="1" applyAlignment="1">
      <alignment vertical="center"/>
    </xf>
    <xf numFmtId="0" fontId="3" fillId="5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5" borderId="11" xfId="0" quotePrefix="1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3" fillId="5" borderId="1" xfId="0" quotePrefix="1" applyFont="1" applyFill="1" applyBorder="1" applyAlignment="1">
      <alignment horizontal="center" vertical="center"/>
    </xf>
    <xf numFmtId="0" fontId="4" fillId="0" borderId="1" xfId="1" applyBorder="1"/>
    <xf numFmtId="0" fontId="2" fillId="2" borderId="1" xfId="0" applyFont="1" applyFill="1" applyBorder="1" applyProtection="1">
      <protection locked="0"/>
    </xf>
    <xf numFmtId="0" fontId="3" fillId="6" borderId="1" xfId="0" quotePrefix="1" applyFont="1" applyFill="1" applyBorder="1" applyAlignment="1">
      <alignment horizontal="center" vertical="center"/>
    </xf>
    <xf numFmtId="0" fontId="3" fillId="6" borderId="1" xfId="0" quotePrefix="1" applyFont="1" applyFill="1" applyBorder="1" applyAlignment="1">
      <alignment vertical="center"/>
    </xf>
    <xf numFmtId="0" fontId="3" fillId="5" borderId="1" xfId="0" quotePrefix="1" applyFont="1" applyFill="1" applyBorder="1" applyAlignment="1">
      <alignment vertical="center"/>
    </xf>
    <xf numFmtId="0" fontId="0" fillId="5" borderId="1" xfId="0" applyFill="1" applyBorder="1"/>
    <xf numFmtId="0" fontId="0" fillId="0" borderId="6" xfId="0" applyBorder="1" applyAlignment="1">
      <alignment horizontal="left"/>
    </xf>
    <xf numFmtId="0" fontId="3" fillId="6" borderId="1" xfId="0" quotePrefix="1" applyFont="1" applyFill="1" applyBorder="1" applyAlignment="1">
      <alignment horizontal="left" vertical="center"/>
    </xf>
    <xf numFmtId="0" fontId="4" fillId="0" borderId="6" xfId="1" applyBorder="1"/>
    <xf numFmtId="0" fontId="3" fillId="5" borderId="1" xfId="0" quotePrefix="1" applyFont="1" applyFill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3" fillId="5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5" fillId="7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0" xfId="0" applyNumberFormat="1"/>
    <xf numFmtId="0" fontId="0" fillId="0" borderId="1" xfId="0" applyFill="1" applyBorder="1" applyAlignment="1">
      <alignment horizontal="center"/>
    </xf>
    <xf numFmtId="0" fontId="0" fillId="0" borderId="1" xfId="0" applyFill="1" applyBorder="1"/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52844E1-0197-4804-9CE6-F439456DCB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1847850</xdr:colOff>
      <xdr:row>0</xdr:row>
      <xdr:rowOff>66675</xdr:rowOff>
    </xdr:from>
    <xdr:to>
      <xdr:col>9</xdr:col>
      <xdr:colOff>566420</xdr:colOff>
      <xdr:row>4</xdr:row>
      <xdr:rowOff>88328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F379E3-3C9D-D6CE-B1CF-9C7840CDF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66675"/>
          <a:ext cx="966470" cy="8020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nrangovaleria507@gmail.com" TargetMode="External"/><Relationship Id="rId18" Type="http://schemas.openxmlformats.org/officeDocument/2006/relationships/hyperlink" Target="mailto:rosariopinto1234@gmail.com" TargetMode="External"/><Relationship Id="rId26" Type="http://schemas.openxmlformats.org/officeDocument/2006/relationships/hyperlink" Target="mailto:sandymonserratecedeno@gmail.com" TargetMode="External"/><Relationship Id="rId39" Type="http://schemas.openxmlformats.org/officeDocument/2006/relationships/drawing" Target="../drawings/drawing1.xml"/><Relationship Id="rId21" Type="http://schemas.openxmlformats.org/officeDocument/2006/relationships/hyperlink" Target="mailto:suarezvaleska318@gmail.com" TargetMode="External"/><Relationship Id="rId34" Type="http://schemas.openxmlformats.org/officeDocument/2006/relationships/hyperlink" Target="mailto:jonathanmarcelo2016@gmail.com" TargetMode="External"/><Relationship Id="rId7" Type="http://schemas.openxmlformats.org/officeDocument/2006/relationships/hyperlink" Target="mailto:alejacristel187@gmail.com" TargetMode="External"/><Relationship Id="rId12" Type="http://schemas.openxmlformats.org/officeDocument/2006/relationships/hyperlink" Target="mailto:vinuezalaura97@gmail.com" TargetMode="External"/><Relationship Id="rId17" Type="http://schemas.openxmlformats.org/officeDocument/2006/relationships/hyperlink" Target="mailto:litardoangela61@gmail.com" TargetMode="External"/><Relationship Id="rId25" Type="http://schemas.openxmlformats.org/officeDocument/2006/relationships/hyperlink" Target="mailto:mercyaguirre548@gmail.com" TargetMode="External"/><Relationship Id="rId33" Type="http://schemas.openxmlformats.org/officeDocument/2006/relationships/hyperlink" Target="mailto:gabymorales1991@hotmail.com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carlaerazo0913@gmail.com" TargetMode="External"/><Relationship Id="rId16" Type="http://schemas.openxmlformats.org/officeDocument/2006/relationships/hyperlink" Target="mailto:rouspavel86@gmail.com" TargetMode="External"/><Relationship Id="rId20" Type="http://schemas.openxmlformats.org/officeDocument/2006/relationships/hyperlink" Target="mailto:monicaalexa271096@gmail.com" TargetMode="External"/><Relationship Id="rId29" Type="http://schemas.openxmlformats.org/officeDocument/2006/relationships/hyperlink" Target="mailto:antejessica2@gmail.com" TargetMode="External"/><Relationship Id="rId1" Type="http://schemas.openxmlformats.org/officeDocument/2006/relationships/hyperlink" Target="mailto:dayanallumitaxi2002@gmail.com" TargetMode="External"/><Relationship Id="rId6" Type="http://schemas.openxmlformats.org/officeDocument/2006/relationships/hyperlink" Target="mailto:amysofiaalcivarmendoza@gmail.com" TargetMode="External"/><Relationship Id="rId11" Type="http://schemas.openxmlformats.org/officeDocument/2006/relationships/hyperlink" Target="mailto:magui25cabay@gmail.com" TargetMode="External"/><Relationship Id="rId24" Type="http://schemas.openxmlformats.org/officeDocument/2006/relationships/hyperlink" Target="mailto:nathaliahermosa9@gmail.com" TargetMode="External"/><Relationship Id="rId32" Type="http://schemas.openxmlformats.org/officeDocument/2006/relationships/hyperlink" Target="mailto:karlita06.garcia@gmail.com" TargetMode="External"/><Relationship Id="rId37" Type="http://schemas.openxmlformats.org/officeDocument/2006/relationships/hyperlink" Target="mailto:benitojaya@yahoo.es" TargetMode="External"/><Relationship Id="rId5" Type="http://schemas.openxmlformats.org/officeDocument/2006/relationships/hyperlink" Target="mailto:lulitanegrita@hotmail.com" TargetMode="External"/><Relationship Id="rId15" Type="http://schemas.openxmlformats.org/officeDocument/2006/relationships/hyperlink" Target="mailto:nancyalexamorales.92@hotmail.com" TargetMode="External"/><Relationship Id="rId23" Type="http://schemas.openxmlformats.org/officeDocument/2006/relationships/hyperlink" Target="mailto:elipinanjota10@gmail.com" TargetMode="External"/><Relationship Id="rId28" Type="http://schemas.openxmlformats.org/officeDocument/2006/relationships/hyperlink" Target="mailto:karolmpv269@gmail.com" TargetMode="External"/><Relationship Id="rId36" Type="http://schemas.openxmlformats.org/officeDocument/2006/relationships/hyperlink" Target="mailto:rosit12narvaez@gmail.com" TargetMode="External"/><Relationship Id="rId10" Type="http://schemas.openxmlformats.org/officeDocument/2006/relationships/hyperlink" Target="mailto:donaelitojr@gmail.com" TargetMode="External"/><Relationship Id="rId19" Type="http://schemas.openxmlformats.org/officeDocument/2006/relationships/hyperlink" Target="mailto:mauracepeda075@gmail.com" TargetMode="External"/><Relationship Id="rId31" Type="http://schemas.openxmlformats.org/officeDocument/2006/relationships/hyperlink" Target="mailto:maribelsuambra20@gmail.com" TargetMode="External"/><Relationship Id="rId4" Type="http://schemas.openxmlformats.org/officeDocument/2006/relationships/hyperlink" Target="mailto:pozotnia@gmail.com" TargetMode="External"/><Relationship Id="rId9" Type="http://schemas.openxmlformats.org/officeDocument/2006/relationships/hyperlink" Target="mailto:nataly1994b@hotmail.com" TargetMode="External"/><Relationship Id="rId14" Type="http://schemas.openxmlformats.org/officeDocument/2006/relationships/hyperlink" Target="mailto:gracielatulcanazo@gmail.com" TargetMode="External"/><Relationship Id="rId22" Type="http://schemas.openxmlformats.org/officeDocument/2006/relationships/hyperlink" Target="mailto:wendy.lanas@hotmail.com" TargetMode="External"/><Relationship Id="rId27" Type="http://schemas.openxmlformats.org/officeDocument/2006/relationships/hyperlink" Target="mailto:veronicatentets784@gmail.com" TargetMode="External"/><Relationship Id="rId30" Type="http://schemas.openxmlformats.org/officeDocument/2006/relationships/hyperlink" Target="mailto:marvin1s82_@hotmail.com" TargetMode="External"/><Relationship Id="rId35" Type="http://schemas.openxmlformats.org/officeDocument/2006/relationships/hyperlink" Target="mailto:yd623322@gmail.com" TargetMode="External"/><Relationship Id="rId8" Type="http://schemas.openxmlformats.org/officeDocument/2006/relationships/hyperlink" Target="mailto:samanta.11@live.com" TargetMode="External"/><Relationship Id="rId3" Type="http://schemas.openxmlformats.org/officeDocument/2006/relationships/hyperlink" Target="mailto:arcisainfante91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7D1A-80AF-4ACF-9230-0A35823AB4C7}">
  <dimension ref="A1:T44"/>
  <sheetViews>
    <sheetView tabSelected="1" zoomScale="71" zoomScaleNormal="39" workbookViewId="0">
      <pane xSplit="2" ySplit="5" topLeftCell="C6" activePane="bottomRight" state="frozenSplit"/>
      <selection pane="topRight" activeCell="L5" sqref="L5"/>
      <selection pane="bottomLeft" activeCell="B47" sqref="B47"/>
      <selection pane="bottomRight" activeCell="F18" sqref="F18"/>
    </sheetView>
  </sheetViews>
  <sheetFormatPr baseColWidth="10" defaultRowHeight="15" customHeight="1" x14ac:dyDescent="0.3"/>
  <cols>
    <col min="1" max="1" width="3" customWidth="1"/>
    <col min="2" max="2" width="41" customWidth="1"/>
    <col min="3" max="3" width="13.44140625" customWidth="1"/>
    <col min="4" max="4" width="12.5546875" customWidth="1"/>
    <col min="5" max="5" width="25.21875" customWidth="1"/>
    <col min="6" max="6" width="14.88671875" customWidth="1"/>
    <col min="7" max="7" width="18.33203125" customWidth="1"/>
    <col min="8" max="8" width="15.33203125" customWidth="1"/>
    <col min="9" max="9" width="33.5546875" customWidth="1"/>
    <col min="10" max="10" width="14.33203125" customWidth="1"/>
    <col min="11" max="11" width="20.33203125" customWidth="1"/>
    <col min="12" max="12" width="44.21875" customWidth="1"/>
    <col min="13" max="13" width="22" customWidth="1"/>
    <col min="14" max="14" width="24.5546875" customWidth="1"/>
    <col min="15" max="15" width="31.109375" customWidth="1"/>
    <col min="16" max="16" width="23" customWidth="1"/>
    <col min="17" max="17" width="20.5546875" customWidth="1"/>
    <col min="18" max="18" width="31.109375" customWidth="1"/>
    <col min="19" max="19" width="15.33203125" customWidth="1"/>
    <col min="20" max="20" width="17.5546875" customWidth="1"/>
  </cols>
  <sheetData>
    <row r="1" spans="1:20" ht="15" customHeight="1" x14ac:dyDescent="0.3">
      <c r="A1" s="43" t="s">
        <v>21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ht="15" customHeight="1" x14ac:dyDescent="0.3">
      <c r="B2" s="46" t="s">
        <v>364</v>
      </c>
      <c r="C2" s="46"/>
      <c r="D2" s="46"/>
      <c r="E2" s="46"/>
      <c r="F2" s="46"/>
      <c r="G2" s="46"/>
      <c r="H2" s="46"/>
      <c r="I2" s="46" t="s">
        <v>363</v>
      </c>
      <c r="J2" s="46"/>
      <c r="K2" s="1" t="s">
        <v>346</v>
      </c>
    </row>
    <row r="3" spans="1:20" ht="15" customHeight="1" thickBot="1" x14ac:dyDescent="0.3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ht="15" customHeight="1" x14ac:dyDescent="0.3">
      <c r="A4" s="50" t="s">
        <v>7</v>
      </c>
      <c r="B4" s="51"/>
      <c r="C4" s="51"/>
      <c r="D4" s="51"/>
      <c r="E4" s="51"/>
      <c r="F4" s="51"/>
      <c r="G4" s="51"/>
      <c r="H4" s="52"/>
      <c r="I4" s="47" t="s">
        <v>12</v>
      </c>
      <c r="J4" s="48"/>
      <c r="K4" s="48"/>
      <c r="L4" s="48"/>
      <c r="M4" s="48"/>
      <c r="N4" s="49"/>
      <c r="O4" s="47" t="s">
        <v>19</v>
      </c>
      <c r="P4" s="48"/>
      <c r="Q4" s="49"/>
      <c r="R4" s="47" t="s">
        <v>18</v>
      </c>
      <c r="S4" s="48"/>
      <c r="T4" s="49"/>
    </row>
    <row r="5" spans="1:20" ht="15" customHeight="1" x14ac:dyDescent="0.3">
      <c r="A5" s="3" t="s">
        <v>0</v>
      </c>
      <c r="B5" s="2" t="s">
        <v>1</v>
      </c>
      <c r="C5" s="2" t="s">
        <v>2</v>
      </c>
      <c r="D5" s="2" t="s">
        <v>3</v>
      </c>
      <c r="E5" s="7" t="s">
        <v>4</v>
      </c>
      <c r="F5" s="2" t="s">
        <v>5</v>
      </c>
      <c r="G5" s="2" t="s">
        <v>6</v>
      </c>
      <c r="H5" s="4" t="s">
        <v>16</v>
      </c>
      <c r="I5" s="3" t="s">
        <v>20</v>
      </c>
      <c r="J5" s="2" t="s">
        <v>2</v>
      </c>
      <c r="K5" s="2" t="s">
        <v>8</v>
      </c>
      <c r="L5" s="2" t="s">
        <v>9</v>
      </c>
      <c r="M5" s="2" t="s">
        <v>10</v>
      </c>
      <c r="N5" s="4" t="s">
        <v>11</v>
      </c>
      <c r="O5" s="3" t="s">
        <v>13</v>
      </c>
      <c r="P5" s="2" t="s">
        <v>17</v>
      </c>
      <c r="Q5" s="4" t="s">
        <v>14</v>
      </c>
      <c r="R5" s="3" t="s">
        <v>15</v>
      </c>
      <c r="S5" s="2" t="s">
        <v>17</v>
      </c>
      <c r="T5" s="4" t="s">
        <v>14</v>
      </c>
    </row>
    <row r="6" spans="1:20" ht="15" customHeight="1" x14ac:dyDescent="0.3">
      <c r="A6" s="5">
        <v>1</v>
      </c>
      <c r="B6" s="10" t="s">
        <v>22</v>
      </c>
      <c r="C6" s="12">
        <v>1756848188</v>
      </c>
      <c r="D6" s="16">
        <v>42185</v>
      </c>
      <c r="E6" s="8" t="str">
        <f ca="1">DATEDIF(D6, TODAY(), "Y") &amp; " años, " &amp;DATEDIF(D6, TODAY(), "YM") &amp; " meses, " &amp; DATEDIF(D6, TODAY(), "MD") &amp; " días"</f>
        <v>10 años, 5 meses, 26 días</v>
      </c>
      <c r="F6" s="19" t="s">
        <v>66</v>
      </c>
      <c r="G6" s="24" t="s">
        <v>69</v>
      </c>
      <c r="H6" s="20" t="s">
        <v>66</v>
      </c>
      <c r="I6" s="24" t="s">
        <v>192</v>
      </c>
      <c r="J6" s="1">
        <v>1317148581</v>
      </c>
      <c r="K6" s="1">
        <v>981702812</v>
      </c>
      <c r="L6" s="24" t="s">
        <v>210</v>
      </c>
      <c r="M6" s="29" t="s">
        <v>233</v>
      </c>
      <c r="N6" s="35">
        <v>980440464</v>
      </c>
      <c r="O6" s="24" t="s">
        <v>70</v>
      </c>
      <c r="P6" s="25">
        <v>1317148581</v>
      </c>
      <c r="Q6" s="32" t="s">
        <v>112</v>
      </c>
      <c r="R6" s="24" t="s">
        <v>142</v>
      </c>
      <c r="S6" s="25">
        <v>1311997926</v>
      </c>
      <c r="T6" s="31" t="s">
        <v>174</v>
      </c>
    </row>
    <row r="7" spans="1:20" ht="15" customHeight="1" x14ac:dyDescent="0.3">
      <c r="A7" s="5">
        <v>2</v>
      </c>
      <c r="B7" s="10" t="s">
        <v>23</v>
      </c>
      <c r="C7" s="13">
        <v>1757158173</v>
      </c>
      <c r="D7" s="17">
        <v>42345</v>
      </c>
      <c r="E7" s="8" t="str">
        <f t="shared" ref="E7:E44" ca="1" si="0">DATEDIF(D7, TODAY(), "Y") &amp; " años, " &amp;DATEDIF(D7, TODAY(), "YM") &amp; " meses, " &amp; DATEDIF(D7, TODAY(), "MD") &amp; " días"</f>
        <v>10 años, 0 meses, 19 días</v>
      </c>
      <c r="F7" s="19" t="s">
        <v>66</v>
      </c>
      <c r="G7" s="20" t="s">
        <v>71</v>
      </c>
      <c r="H7" s="24" t="s">
        <v>231</v>
      </c>
      <c r="I7" s="20" t="s">
        <v>193</v>
      </c>
      <c r="J7" s="1">
        <v>1719374132</v>
      </c>
      <c r="K7" s="1">
        <v>995473515</v>
      </c>
      <c r="L7" s="20" t="s">
        <v>211</v>
      </c>
      <c r="M7" s="29" t="s">
        <v>232</v>
      </c>
      <c r="N7" s="35">
        <v>984328542</v>
      </c>
      <c r="O7" s="20" t="s">
        <v>72</v>
      </c>
      <c r="P7" s="21">
        <v>1719374132</v>
      </c>
      <c r="Q7" s="33" t="s">
        <v>113</v>
      </c>
      <c r="R7" s="20" t="s">
        <v>143</v>
      </c>
      <c r="S7" s="21">
        <v>1722317334</v>
      </c>
      <c r="T7" s="28" t="s">
        <v>175</v>
      </c>
    </row>
    <row r="8" spans="1:20" ht="15" customHeight="1" x14ac:dyDescent="0.3">
      <c r="A8" s="5">
        <v>3</v>
      </c>
      <c r="B8" s="10" t="s">
        <v>24</v>
      </c>
      <c r="C8" s="12">
        <v>1756919260</v>
      </c>
      <c r="D8" s="16">
        <v>42177</v>
      </c>
      <c r="E8" s="8" t="str">
        <f t="shared" ca="1" si="0"/>
        <v>10 años, 6 meses, 4 días</v>
      </c>
      <c r="F8" s="19" t="s">
        <v>67</v>
      </c>
      <c r="G8" s="24" t="s">
        <v>90</v>
      </c>
      <c r="H8" s="20" t="s">
        <v>296</v>
      </c>
      <c r="I8" s="24" t="s">
        <v>194</v>
      </c>
      <c r="J8" s="1">
        <v>1717709453</v>
      </c>
      <c r="K8" s="1">
        <v>980029834</v>
      </c>
      <c r="L8" s="24" t="s">
        <v>297</v>
      </c>
      <c r="M8" s="29" t="s">
        <v>298</v>
      </c>
      <c r="N8" s="35">
        <v>994311231</v>
      </c>
      <c r="O8" s="24" t="s">
        <v>73</v>
      </c>
      <c r="P8" s="25">
        <v>1717709453</v>
      </c>
      <c r="Q8" s="32" t="s">
        <v>114</v>
      </c>
      <c r="R8" s="24" t="s">
        <v>191</v>
      </c>
      <c r="S8" s="25">
        <v>1715222475</v>
      </c>
      <c r="T8" s="31">
        <v>980029834</v>
      </c>
    </row>
    <row r="9" spans="1:20" ht="15" customHeight="1" x14ac:dyDescent="0.3">
      <c r="A9" s="5">
        <v>4</v>
      </c>
      <c r="B9" s="10" t="s">
        <v>25</v>
      </c>
      <c r="C9" s="13">
        <v>1756655724</v>
      </c>
      <c r="D9" s="17">
        <v>42089</v>
      </c>
      <c r="E9" s="8" t="str">
        <f t="shared" ca="1" si="0"/>
        <v>10 años, 9 meses, 0 días</v>
      </c>
      <c r="F9" s="19" t="s">
        <v>66</v>
      </c>
      <c r="G9" s="20" t="s">
        <v>90</v>
      </c>
      <c r="H9" s="24" t="s">
        <v>235</v>
      </c>
      <c r="I9" s="20" t="s">
        <v>195</v>
      </c>
      <c r="J9" s="1">
        <v>1726737537</v>
      </c>
      <c r="K9" s="1">
        <v>992511709</v>
      </c>
      <c r="L9" s="20" t="s">
        <v>212</v>
      </c>
      <c r="M9" s="29" t="s">
        <v>236</v>
      </c>
      <c r="N9" s="35">
        <v>998557324</v>
      </c>
      <c r="O9" s="20" t="s">
        <v>74</v>
      </c>
      <c r="P9" s="21">
        <v>1726737537</v>
      </c>
      <c r="Q9" s="33" t="s">
        <v>115</v>
      </c>
      <c r="R9" s="20" t="s">
        <v>190</v>
      </c>
      <c r="S9" s="21">
        <v>1714735634</v>
      </c>
      <c r="T9" s="28" t="s">
        <v>115</v>
      </c>
    </row>
    <row r="10" spans="1:20" ht="15" customHeight="1" x14ac:dyDescent="0.3">
      <c r="A10" s="5">
        <v>5</v>
      </c>
      <c r="B10" s="10" t="s">
        <v>26</v>
      </c>
      <c r="C10" s="13">
        <v>1755805411</v>
      </c>
      <c r="D10" s="18">
        <v>41776</v>
      </c>
      <c r="E10" s="8" t="str">
        <f t="shared" ca="1" si="0"/>
        <v>11 años, 7 meses, 9 días</v>
      </c>
      <c r="F10" s="19" t="s">
        <v>66</v>
      </c>
      <c r="G10" s="24" t="s">
        <v>90</v>
      </c>
      <c r="H10" s="20" t="s">
        <v>323</v>
      </c>
      <c r="I10" s="24" t="s">
        <v>324</v>
      </c>
      <c r="J10" s="1">
        <v>1400972004</v>
      </c>
      <c r="K10" s="39" t="s">
        <v>325</v>
      </c>
      <c r="L10" s="24" t="s">
        <v>328</v>
      </c>
      <c r="M10" s="29" t="s">
        <v>327</v>
      </c>
      <c r="N10" s="35">
        <v>939022965</v>
      </c>
      <c r="O10" s="24" t="s">
        <v>324</v>
      </c>
      <c r="P10" s="25">
        <v>1400972004</v>
      </c>
      <c r="Q10" s="6" t="s">
        <v>329</v>
      </c>
      <c r="R10" s="24" t="s">
        <v>326</v>
      </c>
      <c r="S10" s="25">
        <v>1400972004</v>
      </c>
      <c r="T10" s="31">
        <v>939022965</v>
      </c>
    </row>
    <row r="11" spans="1:20" ht="15" customHeight="1" x14ac:dyDescent="0.3">
      <c r="A11" s="5">
        <v>6</v>
      </c>
      <c r="B11" s="30" t="s">
        <v>27</v>
      </c>
      <c r="C11" s="13">
        <v>1756772800</v>
      </c>
      <c r="D11" s="18">
        <v>41980</v>
      </c>
      <c r="E11" s="8" t="str">
        <f t="shared" ca="1" si="0"/>
        <v>11 años, 0 meses, 19 días</v>
      </c>
      <c r="F11" s="19" t="s">
        <v>66</v>
      </c>
      <c r="G11" s="20"/>
      <c r="H11" s="24"/>
      <c r="I11" s="20" t="s">
        <v>360</v>
      </c>
      <c r="J11" s="1">
        <v>1004389696</v>
      </c>
      <c r="K11" s="1">
        <v>962595260</v>
      </c>
      <c r="L11" s="20" t="s">
        <v>361</v>
      </c>
      <c r="M11" s="1"/>
      <c r="N11" s="6">
        <v>996829472</v>
      </c>
      <c r="O11" s="20" t="s">
        <v>360</v>
      </c>
      <c r="P11" s="21">
        <v>1004389696</v>
      </c>
      <c r="Q11" s="33">
        <v>962595260</v>
      </c>
      <c r="R11" s="20" t="s">
        <v>362</v>
      </c>
      <c r="S11" s="21"/>
      <c r="T11" s="28"/>
    </row>
    <row r="12" spans="1:20" ht="15" customHeight="1" x14ac:dyDescent="0.3">
      <c r="A12" s="5">
        <v>7</v>
      </c>
      <c r="B12" s="10" t="s">
        <v>28</v>
      </c>
      <c r="C12" s="12">
        <v>1756936512</v>
      </c>
      <c r="D12" s="16">
        <v>42233</v>
      </c>
      <c r="E12" s="8" t="str">
        <f t="shared" ca="1" si="0"/>
        <v>10 años, 4 meses, 9 días</v>
      </c>
      <c r="F12" s="19" t="s">
        <v>67</v>
      </c>
      <c r="G12" s="24" t="s">
        <v>69</v>
      </c>
      <c r="H12" s="20" t="s">
        <v>66</v>
      </c>
      <c r="I12" s="24" t="s">
        <v>196</v>
      </c>
      <c r="J12" s="1">
        <v>1713957783</v>
      </c>
      <c r="K12" s="1" t="s">
        <v>239</v>
      </c>
      <c r="L12" s="24" t="s">
        <v>240</v>
      </c>
      <c r="M12" s="29" t="s">
        <v>241</v>
      </c>
      <c r="N12" s="1" t="s">
        <v>239</v>
      </c>
      <c r="O12" s="24" t="s">
        <v>75</v>
      </c>
      <c r="P12" s="25">
        <v>1725658080</v>
      </c>
      <c r="Q12" s="32" t="s">
        <v>116</v>
      </c>
      <c r="R12" s="24"/>
      <c r="S12" s="25"/>
      <c r="T12" s="25"/>
    </row>
    <row r="13" spans="1:20" ht="15" customHeight="1" x14ac:dyDescent="0.3">
      <c r="A13" s="5">
        <v>8</v>
      </c>
      <c r="B13" s="10" t="s">
        <v>29</v>
      </c>
      <c r="C13" s="13">
        <v>1757096704</v>
      </c>
      <c r="D13" s="17">
        <v>42305</v>
      </c>
      <c r="E13" s="8" t="str">
        <f t="shared" ca="1" si="0"/>
        <v>10 años, 1 meses, 28 días</v>
      </c>
      <c r="F13" s="19" t="s">
        <v>66</v>
      </c>
      <c r="G13" s="20" t="s">
        <v>90</v>
      </c>
      <c r="H13" s="24" t="s">
        <v>66</v>
      </c>
      <c r="I13" s="20" t="s">
        <v>197</v>
      </c>
      <c r="J13" s="1">
        <v>1725702797</v>
      </c>
      <c r="K13" s="1" t="s">
        <v>286</v>
      </c>
      <c r="L13" s="20" t="s">
        <v>287</v>
      </c>
      <c r="M13" s="37" t="s">
        <v>288</v>
      </c>
      <c r="N13" s="6" t="s">
        <v>286</v>
      </c>
      <c r="O13" s="20" t="s">
        <v>76</v>
      </c>
      <c r="P13" s="21">
        <v>1725702797</v>
      </c>
      <c r="Q13" s="33" t="s">
        <v>117</v>
      </c>
      <c r="R13" s="20" t="s">
        <v>144</v>
      </c>
      <c r="S13" s="21">
        <v>1725330029</v>
      </c>
      <c r="T13" s="28" t="s">
        <v>176</v>
      </c>
    </row>
    <row r="14" spans="1:20" ht="15" customHeight="1" x14ac:dyDescent="0.3">
      <c r="A14" s="5">
        <v>9</v>
      </c>
      <c r="B14" s="10" t="s">
        <v>30</v>
      </c>
      <c r="C14" s="12">
        <v>1756500573</v>
      </c>
      <c r="D14" s="16">
        <v>41998</v>
      </c>
      <c r="E14" s="8" t="str">
        <f t="shared" ca="1" si="0"/>
        <v>11 años, 0 meses, 1 días</v>
      </c>
      <c r="F14" s="19" t="s">
        <v>66</v>
      </c>
      <c r="G14" s="24" t="s">
        <v>69</v>
      </c>
      <c r="H14" s="20" t="s">
        <v>66</v>
      </c>
      <c r="I14" s="24" t="s">
        <v>198</v>
      </c>
      <c r="J14" s="1">
        <v>1751505031</v>
      </c>
      <c r="K14" s="1">
        <v>987337221</v>
      </c>
      <c r="L14" s="24" t="s">
        <v>237</v>
      </c>
      <c r="M14" s="29" t="s">
        <v>238</v>
      </c>
      <c r="N14" s="35">
        <v>982303279</v>
      </c>
      <c r="O14" s="24" t="s">
        <v>77</v>
      </c>
      <c r="P14" s="25">
        <v>1751505031</v>
      </c>
      <c r="Q14" s="32" t="s">
        <v>118</v>
      </c>
      <c r="R14" s="24" t="s">
        <v>145</v>
      </c>
      <c r="S14" s="31" t="s">
        <v>167</v>
      </c>
      <c r="T14" s="31" t="s">
        <v>177</v>
      </c>
    </row>
    <row r="15" spans="1:20" ht="15" customHeight="1" x14ac:dyDescent="0.3">
      <c r="A15" s="5">
        <v>10</v>
      </c>
      <c r="B15" s="10" t="s">
        <v>31</v>
      </c>
      <c r="C15" s="13">
        <v>1757113640</v>
      </c>
      <c r="D15" s="17">
        <v>42325</v>
      </c>
      <c r="E15" s="8" t="str">
        <f t="shared" ca="1" si="0"/>
        <v>10 años, 1 meses, 9 días</v>
      </c>
      <c r="F15" s="19" t="s">
        <v>66</v>
      </c>
      <c r="G15" s="20" t="s">
        <v>90</v>
      </c>
      <c r="H15" s="24" t="s">
        <v>66</v>
      </c>
      <c r="I15" s="20" t="s">
        <v>199</v>
      </c>
      <c r="J15" s="40">
        <v>1755270376</v>
      </c>
      <c r="K15" s="1">
        <v>987940062</v>
      </c>
      <c r="L15" s="20" t="s">
        <v>213</v>
      </c>
      <c r="M15" s="29" t="s">
        <v>110</v>
      </c>
      <c r="N15" s="6" t="s">
        <v>111</v>
      </c>
      <c r="O15" s="20" t="s">
        <v>78</v>
      </c>
      <c r="P15" s="21">
        <v>1755270376</v>
      </c>
      <c r="Q15" s="33" t="s">
        <v>119</v>
      </c>
      <c r="R15" s="20"/>
      <c r="S15" s="20"/>
      <c r="T15" s="20"/>
    </row>
    <row r="16" spans="1:20" ht="15" customHeight="1" x14ac:dyDescent="0.3">
      <c r="A16" s="5">
        <v>11</v>
      </c>
      <c r="B16" s="10" t="s">
        <v>32</v>
      </c>
      <c r="C16" s="12" t="s">
        <v>60</v>
      </c>
      <c r="D16" s="16">
        <v>42213</v>
      </c>
      <c r="E16" s="8" t="str">
        <f t="shared" ca="1" si="0"/>
        <v>10 años, 4 meses, 28 días</v>
      </c>
      <c r="F16" s="19" t="s">
        <v>66</v>
      </c>
      <c r="G16" s="24" t="s">
        <v>69</v>
      </c>
      <c r="H16" s="20" t="s">
        <v>66</v>
      </c>
      <c r="I16" s="24" t="s">
        <v>259</v>
      </c>
      <c r="J16" s="1">
        <v>1722179734</v>
      </c>
      <c r="K16" s="1">
        <v>983185486</v>
      </c>
      <c r="L16" s="24" t="s">
        <v>214</v>
      </c>
      <c r="M16" s="29" t="s">
        <v>260</v>
      </c>
      <c r="N16" s="6" t="s">
        <v>261</v>
      </c>
      <c r="O16" s="24" t="s">
        <v>80</v>
      </c>
      <c r="P16" s="25" t="s">
        <v>81</v>
      </c>
      <c r="Q16" s="32" t="s">
        <v>120</v>
      </c>
      <c r="R16" s="24" t="s">
        <v>146</v>
      </c>
      <c r="S16" s="25" t="s">
        <v>168</v>
      </c>
      <c r="T16" s="25" t="s">
        <v>79</v>
      </c>
    </row>
    <row r="17" spans="1:20" ht="15" customHeight="1" x14ac:dyDescent="0.3">
      <c r="A17" s="5">
        <v>12</v>
      </c>
      <c r="B17" s="10" t="s">
        <v>33</v>
      </c>
      <c r="C17" s="13">
        <v>1756914972</v>
      </c>
      <c r="D17" s="17">
        <v>42187</v>
      </c>
      <c r="E17" s="8" t="str">
        <f t="shared" ca="1" si="0"/>
        <v>10 años, 5 meses, 24 días</v>
      </c>
      <c r="F17" s="19" t="s">
        <v>66</v>
      </c>
      <c r="G17" s="20" t="s">
        <v>82</v>
      </c>
      <c r="H17" s="24" t="s">
        <v>66</v>
      </c>
      <c r="I17" s="20" t="s">
        <v>200</v>
      </c>
      <c r="J17" s="1">
        <v>1105545352</v>
      </c>
      <c r="K17" s="1">
        <v>986802708</v>
      </c>
      <c r="L17" s="20" t="s">
        <v>215</v>
      </c>
      <c r="M17" s="29" t="s">
        <v>226</v>
      </c>
      <c r="N17" s="6" t="s">
        <v>227</v>
      </c>
      <c r="O17" s="20" t="s">
        <v>83</v>
      </c>
      <c r="P17" s="21">
        <v>1105545352</v>
      </c>
      <c r="Q17" s="33" t="s">
        <v>121</v>
      </c>
      <c r="R17" s="20" t="s">
        <v>147</v>
      </c>
      <c r="S17" s="21">
        <v>1102141643</v>
      </c>
      <c r="T17" s="28">
        <v>981107634</v>
      </c>
    </row>
    <row r="18" spans="1:20" ht="15" customHeight="1" x14ac:dyDescent="0.3">
      <c r="A18" s="5">
        <v>13</v>
      </c>
      <c r="B18" s="10" t="s">
        <v>34</v>
      </c>
      <c r="C18" s="12">
        <v>1756317770</v>
      </c>
      <c r="D18" s="16">
        <v>41908</v>
      </c>
      <c r="E18" s="8" t="str">
        <f t="shared" ca="1" si="0"/>
        <v>11 años, 3 meses, 0 días</v>
      </c>
      <c r="F18" s="19" t="s">
        <v>66</v>
      </c>
      <c r="G18" s="24" t="s">
        <v>90</v>
      </c>
      <c r="H18" s="20" t="s">
        <v>66</v>
      </c>
      <c r="I18" s="24" t="s">
        <v>267</v>
      </c>
      <c r="J18" s="1">
        <v>1716747603</v>
      </c>
      <c r="K18" s="1">
        <v>980608424</v>
      </c>
      <c r="L18" s="24" t="s">
        <v>216</v>
      </c>
      <c r="M18" s="29" t="s">
        <v>268</v>
      </c>
      <c r="N18" s="6" t="s">
        <v>269</v>
      </c>
      <c r="O18" s="24" t="s">
        <v>84</v>
      </c>
      <c r="P18" s="25">
        <v>1716747603</v>
      </c>
      <c r="Q18" s="32" t="s">
        <v>122</v>
      </c>
      <c r="R18" s="24" t="s">
        <v>148</v>
      </c>
      <c r="S18" s="25">
        <v>1719160085</v>
      </c>
      <c r="T18" s="25">
        <v>995537434</v>
      </c>
    </row>
    <row r="19" spans="1:20" ht="15" customHeight="1" x14ac:dyDescent="0.3">
      <c r="A19" s="5">
        <v>14</v>
      </c>
      <c r="B19" s="10" t="s">
        <v>35</v>
      </c>
      <c r="C19" s="12">
        <v>1757419559</v>
      </c>
      <c r="D19" s="18">
        <v>42082</v>
      </c>
      <c r="E19" s="8" t="str">
        <f t="shared" ca="1" si="0"/>
        <v>10 años, 9 meses, 7 días</v>
      </c>
      <c r="F19" s="19" t="s">
        <v>66</v>
      </c>
      <c r="G19" s="20" t="s">
        <v>66</v>
      </c>
      <c r="H19" s="24" t="s">
        <v>242</v>
      </c>
      <c r="I19" s="20" t="s">
        <v>243</v>
      </c>
      <c r="J19" s="39" t="s">
        <v>246</v>
      </c>
      <c r="K19" s="1">
        <v>984584235</v>
      </c>
      <c r="L19" s="20" t="s">
        <v>244</v>
      </c>
      <c r="M19" s="29" t="s">
        <v>245</v>
      </c>
      <c r="N19" s="9">
        <v>984584235</v>
      </c>
      <c r="O19" s="20" t="s">
        <v>243</v>
      </c>
      <c r="P19" s="19" t="s">
        <v>246</v>
      </c>
      <c r="Q19" s="9">
        <v>984584235</v>
      </c>
      <c r="R19" s="20" t="s">
        <v>247</v>
      </c>
      <c r="S19" s="21">
        <v>1725847394</v>
      </c>
      <c r="T19" s="21">
        <v>999768033</v>
      </c>
    </row>
    <row r="20" spans="1:20" ht="15" customHeight="1" x14ac:dyDescent="0.3">
      <c r="A20" s="5">
        <v>15</v>
      </c>
      <c r="B20" s="10" t="s">
        <v>36</v>
      </c>
      <c r="C20" s="13" t="s">
        <v>61</v>
      </c>
      <c r="D20" s="17">
        <v>42123</v>
      </c>
      <c r="E20" s="8" t="str">
        <f t="shared" ca="1" si="0"/>
        <v>10 años, 7 meses, 27 días</v>
      </c>
      <c r="F20" s="19" t="s">
        <v>66</v>
      </c>
      <c r="G20" s="27" t="s">
        <v>90</v>
      </c>
      <c r="H20" s="20" t="s">
        <v>304</v>
      </c>
      <c r="I20" s="24" t="s">
        <v>201</v>
      </c>
      <c r="J20" s="1">
        <v>1718003435</v>
      </c>
      <c r="K20" s="1">
        <v>995124651</v>
      </c>
      <c r="L20" s="24" t="s">
        <v>305</v>
      </c>
      <c r="M20" s="29" t="s">
        <v>306</v>
      </c>
      <c r="N20" s="35">
        <v>995124651</v>
      </c>
      <c r="O20" s="24" t="s">
        <v>85</v>
      </c>
      <c r="P20" s="25">
        <v>1718003435</v>
      </c>
      <c r="Q20" s="32" t="s">
        <v>123</v>
      </c>
      <c r="R20" s="24" t="s">
        <v>149</v>
      </c>
      <c r="S20" s="25">
        <v>1718533050</v>
      </c>
      <c r="T20" s="31" t="s">
        <v>178</v>
      </c>
    </row>
    <row r="21" spans="1:20" ht="15" customHeight="1" x14ac:dyDescent="0.3">
      <c r="A21" s="5">
        <v>16</v>
      </c>
      <c r="B21" s="10" t="s">
        <v>37</v>
      </c>
      <c r="C21" s="12">
        <v>1756754410</v>
      </c>
      <c r="D21" s="16">
        <v>42004</v>
      </c>
      <c r="E21" s="8" t="str">
        <f t="shared" ca="1" si="0"/>
        <v>10 años, 11 meses, 25 días</v>
      </c>
      <c r="F21" s="19" t="s">
        <v>66</v>
      </c>
      <c r="G21" s="20" t="s">
        <v>69</v>
      </c>
      <c r="H21" s="24" t="s">
        <v>66</v>
      </c>
      <c r="I21" s="20" t="s">
        <v>86</v>
      </c>
      <c r="J21" s="1">
        <v>1715699359</v>
      </c>
      <c r="K21" s="1">
        <v>995469857</v>
      </c>
      <c r="L21" s="20" t="s">
        <v>217</v>
      </c>
      <c r="M21" s="29" t="s">
        <v>339</v>
      </c>
      <c r="N21" s="35">
        <v>995469857</v>
      </c>
      <c r="O21" s="20" t="s">
        <v>86</v>
      </c>
      <c r="P21" s="21">
        <v>1715699359</v>
      </c>
      <c r="Q21" s="33" t="s">
        <v>124</v>
      </c>
      <c r="R21" s="20" t="s">
        <v>150</v>
      </c>
      <c r="S21" s="21">
        <v>1714543079</v>
      </c>
      <c r="T21" s="28" t="s">
        <v>179</v>
      </c>
    </row>
    <row r="22" spans="1:20" ht="15" customHeight="1" x14ac:dyDescent="0.3">
      <c r="A22" s="5">
        <v>17</v>
      </c>
      <c r="B22" s="10" t="s">
        <v>38</v>
      </c>
      <c r="C22" s="13">
        <v>1756712998</v>
      </c>
      <c r="D22" s="17">
        <v>42123</v>
      </c>
      <c r="E22" s="8" t="str">
        <f t="shared" ca="1" si="0"/>
        <v>10 años, 7 meses, 27 días</v>
      </c>
      <c r="F22" s="19" t="s">
        <v>66</v>
      </c>
      <c r="G22" s="24" t="s">
        <v>69</v>
      </c>
      <c r="H22" s="20" t="s">
        <v>66</v>
      </c>
      <c r="I22" s="24" t="s">
        <v>202</v>
      </c>
      <c r="J22" s="1">
        <v>1400417679</v>
      </c>
      <c r="K22" s="1">
        <v>983230197</v>
      </c>
      <c r="L22" s="24" t="s">
        <v>302</v>
      </c>
      <c r="M22" s="29" t="s">
        <v>301</v>
      </c>
      <c r="N22" s="35">
        <v>939985484</v>
      </c>
      <c r="O22" s="24" t="s">
        <v>87</v>
      </c>
      <c r="P22" s="25">
        <v>1400417679</v>
      </c>
      <c r="Q22" s="32" t="s">
        <v>125</v>
      </c>
      <c r="R22" s="24" t="s">
        <v>151</v>
      </c>
      <c r="S22" s="25">
        <v>1715295513</v>
      </c>
      <c r="T22" s="31" t="s">
        <v>303</v>
      </c>
    </row>
    <row r="23" spans="1:20" ht="15" customHeight="1" x14ac:dyDescent="0.3">
      <c r="A23" s="5">
        <v>18</v>
      </c>
      <c r="B23" s="10" t="s">
        <v>39</v>
      </c>
      <c r="C23" s="12">
        <v>1757164122</v>
      </c>
      <c r="D23" s="16">
        <v>45538</v>
      </c>
      <c r="E23" s="8" t="str">
        <f t="shared" ca="1" si="0"/>
        <v>1 años, 3 meses, 23 días</v>
      </c>
      <c r="F23" s="19" t="s">
        <v>66</v>
      </c>
      <c r="G23" s="20" t="s">
        <v>90</v>
      </c>
      <c r="H23" s="24" t="s">
        <v>248</v>
      </c>
      <c r="I23" s="20" t="s">
        <v>203</v>
      </c>
      <c r="J23" s="1">
        <v>1720663291</v>
      </c>
      <c r="K23" s="1">
        <v>984808981</v>
      </c>
      <c r="L23" s="20" t="s">
        <v>249</v>
      </c>
      <c r="M23" s="29" t="s">
        <v>250</v>
      </c>
      <c r="N23" s="35">
        <v>968273349</v>
      </c>
      <c r="O23" s="20" t="s">
        <v>89</v>
      </c>
      <c r="P23" s="21">
        <v>1720663291</v>
      </c>
      <c r="Q23" s="33" t="s">
        <v>126</v>
      </c>
      <c r="R23" s="20" t="s">
        <v>152</v>
      </c>
      <c r="S23" s="21">
        <v>1719967851</v>
      </c>
      <c r="T23" s="28" t="s">
        <v>180</v>
      </c>
    </row>
    <row r="24" spans="1:20" ht="15" customHeight="1" x14ac:dyDescent="0.3">
      <c r="A24" s="5">
        <v>19</v>
      </c>
      <c r="B24" s="10" t="s">
        <v>40</v>
      </c>
      <c r="C24" s="13">
        <v>1756662498</v>
      </c>
      <c r="D24" s="17">
        <v>42094</v>
      </c>
      <c r="E24" s="8" t="str">
        <f t="shared" ca="1" si="0"/>
        <v>10 años, 8 meses, 25 días</v>
      </c>
      <c r="F24" s="19" t="s">
        <v>66</v>
      </c>
      <c r="G24" s="24" t="s">
        <v>90</v>
      </c>
      <c r="H24" s="20" t="s">
        <v>66</v>
      </c>
      <c r="I24" s="24" t="s">
        <v>91</v>
      </c>
      <c r="J24" s="1">
        <v>1723848766</v>
      </c>
      <c r="K24" s="1">
        <v>992273164</v>
      </c>
      <c r="L24" s="24" t="s">
        <v>218</v>
      </c>
      <c r="M24" s="29" t="s">
        <v>273</v>
      </c>
      <c r="N24" s="35">
        <v>988252193</v>
      </c>
      <c r="O24" s="24" t="s">
        <v>91</v>
      </c>
      <c r="P24" s="25">
        <v>1723848766</v>
      </c>
      <c r="Q24" s="32" t="s">
        <v>127</v>
      </c>
      <c r="R24" s="24" t="s">
        <v>153</v>
      </c>
      <c r="S24" s="25">
        <v>1725547432</v>
      </c>
      <c r="T24" s="31" t="s">
        <v>181</v>
      </c>
    </row>
    <row r="25" spans="1:20" ht="15" customHeight="1" x14ac:dyDescent="0.3">
      <c r="A25" s="5">
        <v>20</v>
      </c>
      <c r="B25" s="10" t="s">
        <v>41</v>
      </c>
      <c r="C25" s="12">
        <v>1756764096</v>
      </c>
      <c r="D25" s="16">
        <v>42138</v>
      </c>
      <c r="E25" s="8" t="str">
        <f t="shared" ca="1" si="0"/>
        <v>10 años, 7 meses, 12 días</v>
      </c>
      <c r="F25" s="19" t="s">
        <v>66</v>
      </c>
      <c r="G25" s="20" t="s">
        <v>90</v>
      </c>
      <c r="H25" s="24" t="s">
        <v>66</v>
      </c>
      <c r="I25" s="20" t="s">
        <v>204</v>
      </c>
      <c r="J25" s="1">
        <v>1003490024</v>
      </c>
      <c r="K25" s="1">
        <v>981564793</v>
      </c>
      <c r="L25" s="20" t="s">
        <v>219</v>
      </c>
      <c r="M25" s="29" t="s">
        <v>234</v>
      </c>
      <c r="N25" s="35">
        <v>994102168</v>
      </c>
      <c r="O25" s="20" t="s">
        <v>92</v>
      </c>
      <c r="P25" s="21">
        <v>1003490024</v>
      </c>
      <c r="Q25" s="33" t="s">
        <v>128</v>
      </c>
      <c r="R25" s="20" t="s">
        <v>154</v>
      </c>
      <c r="S25" s="28" t="s">
        <v>169</v>
      </c>
      <c r="T25" s="28" t="s">
        <v>182</v>
      </c>
    </row>
    <row r="26" spans="1:20" ht="15" customHeight="1" x14ac:dyDescent="0.3">
      <c r="A26" s="5">
        <v>21</v>
      </c>
      <c r="B26" s="10" t="s">
        <v>42</v>
      </c>
      <c r="C26" s="13">
        <v>1756565683</v>
      </c>
      <c r="D26" s="17">
        <v>42042</v>
      </c>
      <c r="E26" s="8" t="str">
        <f t="shared" ca="1" si="0"/>
        <v>10 años, 10 meses, 19 días</v>
      </c>
      <c r="F26" s="19" t="s">
        <v>66</v>
      </c>
      <c r="G26" s="24" t="s">
        <v>69</v>
      </c>
      <c r="H26" s="20" t="s">
        <v>333</v>
      </c>
      <c r="I26" s="24" t="s">
        <v>93</v>
      </c>
      <c r="J26" s="1">
        <v>1723529275</v>
      </c>
      <c r="K26" s="1">
        <v>994717134</v>
      </c>
      <c r="L26" s="24" t="s">
        <v>334</v>
      </c>
      <c r="M26" s="29" t="s">
        <v>335</v>
      </c>
      <c r="N26" s="6" t="s">
        <v>336</v>
      </c>
      <c r="O26" s="24" t="s">
        <v>93</v>
      </c>
      <c r="P26" s="25">
        <v>1723529275</v>
      </c>
      <c r="Q26" s="32" t="s">
        <v>129</v>
      </c>
      <c r="R26" s="24" t="s">
        <v>155</v>
      </c>
      <c r="S26" s="25">
        <v>1712971553</v>
      </c>
      <c r="T26" s="31" t="s">
        <v>183</v>
      </c>
    </row>
    <row r="27" spans="1:20" ht="15" customHeight="1" x14ac:dyDescent="0.3">
      <c r="A27" s="5">
        <v>22</v>
      </c>
      <c r="B27" s="10" t="s">
        <v>43</v>
      </c>
      <c r="C27" s="12">
        <v>1756746788</v>
      </c>
      <c r="D27" s="16">
        <v>42137</v>
      </c>
      <c r="E27" s="8" t="str">
        <f t="shared" ca="1" si="0"/>
        <v>10 años, 7 meses, 13 días</v>
      </c>
      <c r="F27" s="19" t="s">
        <v>66</v>
      </c>
      <c r="G27" s="20" t="s">
        <v>94</v>
      </c>
      <c r="H27" s="24" t="s">
        <v>66</v>
      </c>
      <c r="I27" s="20" t="s">
        <v>205</v>
      </c>
      <c r="J27" s="21">
        <v>1721938031</v>
      </c>
      <c r="K27" s="40">
        <v>991270184</v>
      </c>
      <c r="L27" s="20" t="s">
        <v>224</v>
      </c>
      <c r="M27" s="29" t="s">
        <v>225</v>
      </c>
      <c r="N27" s="6" t="s">
        <v>228</v>
      </c>
      <c r="O27" s="20" t="s">
        <v>95</v>
      </c>
      <c r="P27" s="21">
        <v>1721938031</v>
      </c>
      <c r="Q27" s="22">
        <v>991270184</v>
      </c>
      <c r="R27" s="20" t="s">
        <v>156</v>
      </c>
      <c r="S27" s="21">
        <v>1712635042</v>
      </c>
      <c r="T27" s="21" t="s">
        <v>337</v>
      </c>
    </row>
    <row r="28" spans="1:20" ht="15" customHeight="1" x14ac:dyDescent="0.3">
      <c r="A28" s="5">
        <v>23</v>
      </c>
      <c r="B28" s="10" t="s">
        <v>44</v>
      </c>
      <c r="C28" s="13">
        <v>1757118631</v>
      </c>
      <c r="D28" s="17">
        <v>42326</v>
      </c>
      <c r="E28" s="8" t="str">
        <f t="shared" ca="1" si="0"/>
        <v>10 años, 1 meses, 8 días</v>
      </c>
      <c r="F28" s="19" t="s">
        <v>66</v>
      </c>
      <c r="G28" s="24" t="s">
        <v>90</v>
      </c>
      <c r="H28" s="20" t="s">
        <v>66</v>
      </c>
      <c r="I28" s="24" t="s">
        <v>96</v>
      </c>
      <c r="J28" s="1">
        <v>1721938031</v>
      </c>
      <c r="K28" s="1">
        <v>993469533</v>
      </c>
      <c r="L28" s="24" t="s">
        <v>274</v>
      </c>
      <c r="M28" s="29" t="s">
        <v>271</v>
      </c>
      <c r="N28" s="6" t="s">
        <v>272</v>
      </c>
      <c r="O28" s="24" t="s">
        <v>96</v>
      </c>
      <c r="P28" s="25">
        <v>1715407928</v>
      </c>
      <c r="Q28" s="32" t="s">
        <v>130</v>
      </c>
      <c r="R28" s="24" t="s">
        <v>157</v>
      </c>
      <c r="S28" s="31" t="s">
        <v>170</v>
      </c>
      <c r="T28" s="31" t="s">
        <v>184</v>
      </c>
    </row>
    <row r="29" spans="1:20" ht="15" customHeight="1" x14ac:dyDescent="0.3">
      <c r="A29" s="5">
        <v>24</v>
      </c>
      <c r="B29" s="10" t="s">
        <v>45</v>
      </c>
      <c r="C29" s="12">
        <v>1756522643</v>
      </c>
      <c r="D29" s="16">
        <v>42009</v>
      </c>
      <c r="E29" s="8" t="str">
        <f t="shared" ca="1" si="0"/>
        <v>10 años, 11 meses, 21 días</v>
      </c>
      <c r="F29" s="19" t="s">
        <v>66</v>
      </c>
      <c r="G29" s="20" t="s">
        <v>69</v>
      </c>
      <c r="H29" s="24" t="s">
        <v>66</v>
      </c>
      <c r="I29" s="20" t="s">
        <v>340</v>
      </c>
      <c r="J29" s="1">
        <v>2100256946</v>
      </c>
      <c r="K29" s="39" t="s">
        <v>341</v>
      </c>
      <c r="L29" s="20" t="s">
        <v>342</v>
      </c>
      <c r="M29" s="29" t="s">
        <v>343</v>
      </c>
      <c r="N29" s="4" t="s">
        <v>344</v>
      </c>
      <c r="O29" s="20" t="s">
        <v>97</v>
      </c>
      <c r="P29" s="21">
        <v>2100256946</v>
      </c>
      <c r="Q29" s="33" t="s">
        <v>341</v>
      </c>
      <c r="R29" s="20" t="s">
        <v>158</v>
      </c>
      <c r="S29" s="21">
        <v>17122883090</v>
      </c>
      <c r="T29" s="28" t="s">
        <v>345</v>
      </c>
    </row>
    <row r="30" spans="1:20" ht="15" customHeight="1" x14ac:dyDescent="0.3">
      <c r="A30" s="5">
        <v>25</v>
      </c>
      <c r="B30" s="10" t="s">
        <v>46</v>
      </c>
      <c r="C30" s="13">
        <v>1756967897</v>
      </c>
      <c r="D30" s="17">
        <v>42241</v>
      </c>
      <c r="E30" s="8" t="str">
        <f t="shared" ca="1" si="0"/>
        <v>10 años, 4 meses, 1 días</v>
      </c>
      <c r="F30" s="19" t="s">
        <v>66</v>
      </c>
      <c r="G30" s="24" t="s">
        <v>68</v>
      </c>
      <c r="H30" s="20" t="s">
        <v>66</v>
      </c>
      <c r="I30" s="24" t="s">
        <v>206</v>
      </c>
      <c r="J30" s="1">
        <v>1724066186</v>
      </c>
      <c r="K30" s="1">
        <v>995790279</v>
      </c>
      <c r="L30" s="24" t="s">
        <v>229</v>
      </c>
      <c r="M30" s="29" t="s">
        <v>230</v>
      </c>
      <c r="N30" s="35">
        <v>958853295</v>
      </c>
      <c r="O30" s="24" t="s">
        <v>98</v>
      </c>
      <c r="P30" s="25">
        <v>1724066186</v>
      </c>
      <c r="Q30" s="32" t="s">
        <v>131</v>
      </c>
      <c r="R30" s="24" t="s">
        <v>159</v>
      </c>
      <c r="S30" s="25">
        <v>1306412394</v>
      </c>
      <c r="T30" s="31" t="s">
        <v>185</v>
      </c>
    </row>
    <row r="31" spans="1:20" ht="15" customHeight="1" x14ac:dyDescent="0.3">
      <c r="A31" s="5">
        <v>26</v>
      </c>
      <c r="B31" s="10" t="s">
        <v>47</v>
      </c>
      <c r="C31" s="12">
        <v>1756952121</v>
      </c>
      <c r="D31" s="16">
        <v>42236</v>
      </c>
      <c r="E31" s="8" t="str">
        <f t="shared" ca="1" si="0"/>
        <v>10 años, 4 meses, 6 días</v>
      </c>
      <c r="F31" s="19" t="s">
        <v>66</v>
      </c>
      <c r="G31" s="20" t="s">
        <v>69</v>
      </c>
      <c r="H31" s="24" t="s">
        <v>66</v>
      </c>
      <c r="I31" s="20" t="s">
        <v>99</v>
      </c>
      <c r="J31" s="1">
        <v>1724443278</v>
      </c>
      <c r="K31" s="1">
        <v>988867416</v>
      </c>
      <c r="L31" s="20" t="s">
        <v>220</v>
      </c>
      <c r="M31" s="29" t="s">
        <v>254</v>
      </c>
      <c r="N31" s="35">
        <v>939138640</v>
      </c>
      <c r="O31" s="20" t="s">
        <v>99</v>
      </c>
      <c r="P31" s="21">
        <v>1724443278</v>
      </c>
      <c r="Q31" s="33" t="s">
        <v>132</v>
      </c>
      <c r="R31" s="34"/>
      <c r="S31" s="23"/>
      <c r="T31" s="23"/>
    </row>
    <row r="32" spans="1:20" ht="15" customHeight="1" x14ac:dyDescent="0.3">
      <c r="A32" s="5">
        <v>27</v>
      </c>
      <c r="B32" s="10" t="s">
        <v>48</v>
      </c>
      <c r="C32" s="13">
        <v>1756921175</v>
      </c>
      <c r="D32" s="17">
        <v>42221</v>
      </c>
      <c r="E32" s="8" t="str">
        <f t="shared" ca="1" si="0"/>
        <v>10 años, 4 meses, 21 días</v>
      </c>
      <c r="F32" s="19" t="s">
        <v>66</v>
      </c>
      <c r="G32" s="24" t="s">
        <v>69</v>
      </c>
      <c r="H32" s="20" t="s">
        <v>255</v>
      </c>
      <c r="I32" s="24" t="s">
        <v>207</v>
      </c>
      <c r="J32" s="1">
        <v>1721883146</v>
      </c>
      <c r="K32" s="1" t="s">
        <v>256</v>
      </c>
      <c r="L32" s="24" t="s">
        <v>221</v>
      </c>
      <c r="M32" s="29" t="s">
        <v>257</v>
      </c>
      <c r="N32" s="6" t="s">
        <v>258</v>
      </c>
      <c r="O32" s="24" t="s">
        <v>100</v>
      </c>
      <c r="P32" s="25">
        <v>1721883146</v>
      </c>
      <c r="Q32" s="32" t="s">
        <v>133</v>
      </c>
      <c r="R32" s="24"/>
      <c r="S32" s="25"/>
      <c r="T32" s="26"/>
    </row>
    <row r="33" spans="1:20" ht="15" customHeight="1" x14ac:dyDescent="0.3">
      <c r="A33" s="5">
        <v>28</v>
      </c>
      <c r="B33" s="10" t="s">
        <v>49</v>
      </c>
      <c r="C33" s="13">
        <v>1757115629</v>
      </c>
      <c r="D33" s="18">
        <v>42286</v>
      </c>
      <c r="E33" s="8" t="str">
        <f t="shared" ca="1" si="0"/>
        <v>10 años, 2 meses, 17 días</v>
      </c>
      <c r="F33" s="19" t="s">
        <v>66</v>
      </c>
      <c r="G33" s="20" t="s">
        <v>90</v>
      </c>
      <c r="H33" s="24" t="s">
        <v>289</v>
      </c>
      <c r="I33" s="20" t="s">
        <v>290</v>
      </c>
      <c r="J33" s="1">
        <v>707055463</v>
      </c>
      <c r="K33" s="1">
        <v>987424549</v>
      </c>
      <c r="L33" s="20" t="s">
        <v>291</v>
      </c>
      <c r="M33" s="29" t="s">
        <v>292</v>
      </c>
      <c r="N33" s="6" t="s">
        <v>293</v>
      </c>
      <c r="O33" s="20" t="s">
        <v>294</v>
      </c>
      <c r="P33" s="21">
        <v>987424549</v>
      </c>
      <c r="Q33" s="38">
        <v>987424549</v>
      </c>
      <c r="R33" s="20" t="s">
        <v>295</v>
      </c>
      <c r="S33" s="21">
        <v>1726199092</v>
      </c>
      <c r="T33" s="23">
        <v>962547500</v>
      </c>
    </row>
    <row r="34" spans="1:20" ht="15" customHeight="1" x14ac:dyDescent="0.3">
      <c r="A34" s="5">
        <v>29</v>
      </c>
      <c r="B34" s="11" t="s">
        <v>50</v>
      </c>
      <c r="C34" s="12">
        <v>1756398093</v>
      </c>
      <c r="D34" s="16">
        <v>41948</v>
      </c>
      <c r="E34" s="8" t="str">
        <f t="shared" ca="1" si="0"/>
        <v>11 años, 1 meses, 21 días</v>
      </c>
      <c r="F34" s="19" t="s">
        <v>66</v>
      </c>
      <c r="G34" s="24" t="s">
        <v>69</v>
      </c>
      <c r="H34" s="20" t="s">
        <v>281</v>
      </c>
      <c r="I34" s="24" t="s">
        <v>101</v>
      </c>
      <c r="J34" s="1">
        <v>1723543243</v>
      </c>
      <c r="K34" s="1">
        <v>968192992</v>
      </c>
      <c r="L34" s="24" t="s">
        <v>282</v>
      </c>
      <c r="M34" s="29" t="s">
        <v>283</v>
      </c>
      <c r="N34" s="35">
        <v>968192992</v>
      </c>
      <c r="O34" s="24" t="s">
        <v>101</v>
      </c>
      <c r="P34" s="25">
        <v>1723543243</v>
      </c>
      <c r="Q34" s="36">
        <v>968192992</v>
      </c>
      <c r="R34" s="24" t="s">
        <v>160</v>
      </c>
      <c r="S34" s="25">
        <v>1724660442</v>
      </c>
      <c r="T34" s="26">
        <v>967457958</v>
      </c>
    </row>
    <row r="35" spans="1:20" ht="15" customHeight="1" x14ac:dyDescent="0.3">
      <c r="A35" s="5">
        <v>30</v>
      </c>
      <c r="B35" s="10" t="s">
        <v>51</v>
      </c>
      <c r="C35" s="12" t="s">
        <v>62</v>
      </c>
      <c r="D35" s="16">
        <v>42174</v>
      </c>
      <c r="E35" s="8" t="str">
        <f t="shared" ca="1" si="0"/>
        <v>10 años, 6 meses, 7 días</v>
      </c>
      <c r="F35" s="19" t="s">
        <v>66</v>
      </c>
      <c r="G35" s="24" t="s">
        <v>69</v>
      </c>
      <c r="H35" s="20" t="s">
        <v>251</v>
      </c>
      <c r="I35" s="24" t="s">
        <v>208</v>
      </c>
      <c r="J35" s="1">
        <v>1003955398</v>
      </c>
      <c r="K35" s="1">
        <v>989085450</v>
      </c>
      <c r="L35" s="24" t="s">
        <v>252</v>
      </c>
      <c r="M35" s="29" t="s">
        <v>253</v>
      </c>
      <c r="N35" s="35">
        <v>980925103</v>
      </c>
      <c r="O35" s="24" t="s">
        <v>102</v>
      </c>
      <c r="P35" s="25" t="s">
        <v>103</v>
      </c>
      <c r="Q35" s="32" t="s">
        <v>134</v>
      </c>
      <c r="R35" s="24" t="s">
        <v>161</v>
      </c>
      <c r="S35" s="31" t="s">
        <v>171</v>
      </c>
      <c r="T35" s="25">
        <v>980925103</v>
      </c>
    </row>
    <row r="36" spans="1:20" ht="15" customHeight="1" x14ac:dyDescent="0.3">
      <c r="A36" s="5">
        <v>31</v>
      </c>
      <c r="B36" s="10" t="s">
        <v>52</v>
      </c>
      <c r="C36" s="14" t="s">
        <v>63</v>
      </c>
      <c r="D36" s="16">
        <v>41648</v>
      </c>
      <c r="E36" s="8" t="str">
        <f t="shared" ca="1" si="0"/>
        <v>11 años, 11 meses, 17 días</v>
      </c>
      <c r="F36" s="19" t="s">
        <v>66</v>
      </c>
      <c r="G36" s="20" t="s">
        <v>88</v>
      </c>
      <c r="H36" s="24" t="s">
        <v>332</v>
      </c>
      <c r="I36" s="20" t="s">
        <v>209</v>
      </c>
      <c r="J36" s="39" t="s">
        <v>353</v>
      </c>
      <c r="K36" s="39">
        <v>978285506</v>
      </c>
      <c r="L36" s="20" t="s">
        <v>222</v>
      </c>
      <c r="M36" s="29" t="s">
        <v>330</v>
      </c>
      <c r="N36" s="6" t="s">
        <v>331</v>
      </c>
      <c r="O36" s="20" t="s">
        <v>104</v>
      </c>
      <c r="P36" s="21">
        <v>1724592330</v>
      </c>
      <c r="Q36" s="33" t="s">
        <v>135</v>
      </c>
      <c r="R36" s="20" t="s">
        <v>162</v>
      </c>
      <c r="S36" s="21">
        <v>1205622341</v>
      </c>
      <c r="T36" s="28" t="s">
        <v>186</v>
      </c>
    </row>
    <row r="37" spans="1:20" ht="15" customHeight="1" x14ac:dyDescent="0.3">
      <c r="A37" s="5">
        <v>32</v>
      </c>
      <c r="B37" s="10" t="s">
        <v>53</v>
      </c>
      <c r="C37" s="13">
        <v>1757015761</v>
      </c>
      <c r="D37" s="17">
        <v>42272</v>
      </c>
      <c r="E37" s="8" t="str">
        <f t="shared" ca="1" si="0"/>
        <v>10 años, 3 meses, 1 días</v>
      </c>
      <c r="F37" s="19" t="s">
        <v>66</v>
      </c>
      <c r="G37" s="24" t="s">
        <v>69</v>
      </c>
      <c r="H37" s="20" t="s">
        <v>307</v>
      </c>
      <c r="I37" s="24" t="s">
        <v>308</v>
      </c>
      <c r="J37" s="39">
        <v>1725417131</v>
      </c>
      <c r="K37" s="39" t="s">
        <v>309</v>
      </c>
      <c r="L37" s="24" t="s">
        <v>310</v>
      </c>
      <c r="M37" s="29" t="s">
        <v>311</v>
      </c>
      <c r="N37" s="6" t="s">
        <v>312</v>
      </c>
      <c r="O37" s="24" t="s">
        <v>105</v>
      </c>
      <c r="P37" s="25">
        <v>1725417131</v>
      </c>
      <c r="Q37" s="32" t="s">
        <v>136</v>
      </c>
      <c r="R37" s="24" t="s">
        <v>163</v>
      </c>
      <c r="S37" s="31" t="s">
        <v>172</v>
      </c>
      <c r="T37" s="31" t="s">
        <v>187</v>
      </c>
    </row>
    <row r="38" spans="1:20" ht="15" customHeight="1" x14ac:dyDescent="0.3">
      <c r="A38" s="5">
        <v>33</v>
      </c>
      <c r="B38" s="10" t="s">
        <v>54</v>
      </c>
      <c r="C38" s="12">
        <v>1756879712</v>
      </c>
      <c r="D38" s="16">
        <v>42164</v>
      </c>
      <c r="E38" s="8" t="str">
        <f t="shared" ca="1" si="0"/>
        <v>10 años, 6 meses, 17 días</v>
      </c>
      <c r="F38" s="19" t="s">
        <v>66</v>
      </c>
      <c r="G38" s="20" t="s">
        <v>90</v>
      </c>
      <c r="H38" s="24" t="s">
        <v>66</v>
      </c>
      <c r="I38" s="20" t="s">
        <v>347</v>
      </c>
      <c r="J38" s="39" t="s">
        <v>349</v>
      </c>
      <c r="K38" s="39" t="s">
        <v>348</v>
      </c>
      <c r="L38" s="20" t="s">
        <v>223</v>
      </c>
      <c r="M38" s="29" t="s">
        <v>354</v>
      </c>
      <c r="N38" s="6" t="s">
        <v>355</v>
      </c>
      <c r="O38" s="20" t="s">
        <v>106</v>
      </c>
      <c r="P38" s="21">
        <v>1103611610</v>
      </c>
      <c r="Q38" s="33" t="s">
        <v>137</v>
      </c>
      <c r="R38" s="20"/>
      <c r="S38" s="21"/>
      <c r="T38" s="21"/>
    </row>
    <row r="39" spans="1:20" ht="15" customHeight="1" x14ac:dyDescent="0.3">
      <c r="A39" s="5">
        <v>34</v>
      </c>
      <c r="B39" s="10" t="s">
        <v>55</v>
      </c>
      <c r="C39" s="12">
        <v>550814958</v>
      </c>
      <c r="D39" s="18">
        <v>42310</v>
      </c>
      <c r="E39" s="8" t="str">
        <f t="shared" ca="1" si="0"/>
        <v>10 años, 1 meses, 24 días</v>
      </c>
      <c r="F39" s="19" t="s">
        <v>66</v>
      </c>
      <c r="G39" s="24" t="s">
        <v>69</v>
      </c>
      <c r="H39" s="20" t="s">
        <v>66</v>
      </c>
      <c r="I39" s="24" t="s">
        <v>313</v>
      </c>
      <c r="J39" s="39" t="s">
        <v>352</v>
      </c>
      <c r="K39" s="39">
        <v>995798792</v>
      </c>
      <c r="L39" s="24" t="s">
        <v>314</v>
      </c>
      <c r="M39" s="29" t="s">
        <v>338</v>
      </c>
      <c r="N39" s="35">
        <v>958964907</v>
      </c>
      <c r="O39" s="24" t="s">
        <v>315</v>
      </c>
      <c r="P39" s="25">
        <v>401584180</v>
      </c>
      <c r="Q39" s="36" t="s">
        <v>316</v>
      </c>
      <c r="R39" s="24" t="s">
        <v>317</v>
      </c>
      <c r="S39" s="25">
        <v>1712476363</v>
      </c>
      <c r="T39" s="25">
        <v>987298699</v>
      </c>
    </row>
    <row r="40" spans="1:20" ht="15" customHeight="1" x14ac:dyDescent="0.3">
      <c r="A40" s="5">
        <v>35</v>
      </c>
      <c r="B40" s="10" t="s">
        <v>56</v>
      </c>
      <c r="C40" s="13" t="s">
        <v>64</v>
      </c>
      <c r="D40" s="17">
        <v>42011</v>
      </c>
      <c r="E40" s="8" t="str">
        <f t="shared" ca="1" si="0"/>
        <v>10 años, 11 meses, 19 días</v>
      </c>
      <c r="F40" s="19" t="s">
        <v>66</v>
      </c>
      <c r="G40" s="20" t="s">
        <v>90</v>
      </c>
      <c r="H40" s="6" t="s">
        <v>262</v>
      </c>
      <c r="I40" s="20" t="s">
        <v>263</v>
      </c>
      <c r="J40" s="39" t="s">
        <v>351</v>
      </c>
      <c r="K40" s="39">
        <v>993128849</v>
      </c>
      <c r="L40" s="20" t="s">
        <v>270</v>
      </c>
      <c r="M40" s="29" t="s">
        <v>264</v>
      </c>
      <c r="N40" s="6" t="s">
        <v>265</v>
      </c>
      <c r="O40" s="20" t="s">
        <v>266</v>
      </c>
      <c r="P40" s="21">
        <v>922490917</v>
      </c>
      <c r="Q40" s="33" t="s">
        <v>138</v>
      </c>
      <c r="R40" s="20" t="s">
        <v>164</v>
      </c>
      <c r="S40" s="21" t="s">
        <v>173</v>
      </c>
      <c r="T40" s="28" t="s">
        <v>188</v>
      </c>
    </row>
    <row r="41" spans="1:20" ht="15" customHeight="1" x14ac:dyDescent="0.3">
      <c r="A41" s="5">
        <v>36</v>
      </c>
      <c r="B41" s="10" t="s">
        <v>57</v>
      </c>
      <c r="C41" s="12">
        <v>1756603419</v>
      </c>
      <c r="D41" s="16">
        <v>41936</v>
      </c>
      <c r="E41" s="8" t="str">
        <f t="shared" ca="1" si="0"/>
        <v>11 años, 2 meses, 2 días</v>
      </c>
      <c r="F41" s="19" t="s">
        <v>66</v>
      </c>
      <c r="G41" s="24" t="s">
        <v>90</v>
      </c>
      <c r="H41" s="6" t="s">
        <v>66</v>
      </c>
      <c r="I41" s="24" t="s">
        <v>107</v>
      </c>
      <c r="J41" s="39">
        <v>1713017034</v>
      </c>
      <c r="K41" s="39">
        <v>969414521</v>
      </c>
      <c r="L41" s="24" t="s">
        <v>280</v>
      </c>
      <c r="M41" s="29" t="s">
        <v>300</v>
      </c>
      <c r="N41" s="6" t="s">
        <v>299</v>
      </c>
      <c r="O41" s="24" t="s">
        <v>107</v>
      </c>
      <c r="P41" s="25">
        <v>1713017034</v>
      </c>
      <c r="Q41" s="32" t="s">
        <v>139</v>
      </c>
      <c r="R41" s="24" t="s">
        <v>165</v>
      </c>
      <c r="S41" s="25">
        <v>1708447170</v>
      </c>
      <c r="T41" s="31" t="s">
        <v>299</v>
      </c>
    </row>
    <row r="42" spans="1:20" ht="15" customHeight="1" x14ac:dyDescent="0.3">
      <c r="A42" s="5">
        <v>37</v>
      </c>
      <c r="B42" s="10" t="s">
        <v>58</v>
      </c>
      <c r="C42" s="15">
        <v>1756879027</v>
      </c>
      <c r="D42" s="17">
        <v>42203</v>
      </c>
      <c r="E42" s="8" t="str">
        <f t="shared" ca="1" si="0"/>
        <v>10 años, 5 meses, 8 días</v>
      </c>
      <c r="F42" s="19" t="s">
        <v>66</v>
      </c>
      <c r="G42" s="20" t="s">
        <v>69</v>
      </c>
      <c r="H42" s="6" t="s">
        <v>66</v>
      </c>
      <c r="I42" s="20" t="s">
        <v>318</v>
      </c>
      <c r="J42" s="39" t="s">
        <v>319</v>
      </c>
      <c r="K42" s="39">
        <v>999137891</v>
      </c>
      <c r="L42" s="20" t="s">
        <v>320</v>
      </c>
      <c r="M42" s="29" t="s">
        <v>321</v>
      </c>
      <c r="N42" s="6" t="s">
        <v>322</v>
      </c>
      <c r="O42" s="20" t="s">
        <v>108</v>
      </c>
      <c r="P42" s="21">
        <v>1205316795</v>
      </c>
      <c r="Q42" s="33" t="s">
        <v>140</v>
      </c>
      <c r="R42" s="20" t="s">
        <v>166</v>
      </c>
      <c r="S42" s="21">
        <v>1714019252</v>
      </c>
      <c r="T42" s="28" t="s">
        <v>189</v>
      </c>
    </row>
    <row r="43" spans="1:20" ht="15" customHeight="1" x14ac:dyDescent="0.3">
      <c r="A43" s="5">
        <v>38</v>
      </c>
      <c r="B43" s="10" t="s">
        <v>59</v>
      </c>
      <c r="C43" s="14" t="s">
        <v>65</v>
      </c>
      <c r="D43" s="16">
        <v>41888</v>
      </c>
      <c r="E43" s="8" t="str">
        <f t="shared" ca="1" si="0"/>
        <v>11 años, 3 meses, 20 días</v>
      </c>
      <c r="F43" s="19" t="s">
        <v>66</v>
      </c>
      <c r="G43" s="1" t="s">
        <v>90</v>
      </c>
      <c r="H43" s="1" t="s">
        <v>275</v>
      </c>
      <c r="I43" s="24" t="s">
        <v>276</v>
      </c>
      <c r="J43" s="39" t="s">
        <v>350</v>
      </c>
      <c r="K43" s="39">
        <v>989721515</v>
      </c>
      <c r="L43" s="24" t="s">
        <v>277</v>
      </c>
      <c r="M43" s="29" t="s">
        <v>278</v>
      </c>
      <c r="N43" s="41">
        <v>989721515</v>
      </c>
      <c r="O43" s="24" t="s">
        <v>279</v>
      </c>
      <c r="P43" s="31" t="s">
        <v>109</v>
      </c>
      <c r="Q43" s="32" t="s">
        <v>141</v>
      </c>
      <c r="R43" s="24" t="s">
        <v>284</v>
      </c>
      <c r="S43" s="31">
        <v>803785039</v>
      </c>
      <c r="T43" s="31" t="s">
        <v>285</v>
      </c>
    </row>
    <row r="44" spans="1:20" ht="15" customHeight="1" x14ac:dyDescent="0.3">
      <c r="A44" s="5">
        <v>39</v>
      </c>
      <c r="B44" s="42" t="s">
        <v>359</v>
      </c>
      <c r="C44">
        <v>1756659015</v>
      </c>
      <c r="D44" s="53">
        <v>42027</v>
      </c>
      <c r="E44" s="8" t="str">
        <f t="shared" ca="1" si="0"/>
        <v>10 años, 11 meses, 3 días</v>
      </c>
      <c r="F44" s="54" t="s">
        <v>66</v>
      </c>
      <c r="G44" s="1" t="s">
        <v>90</v>
      </c>
      <c r="H44" s="55" t="s">
        <v>66</v>
      </c>
      <c r="I44" s="1" t="s">
        <v>356</v>
      </c>
      <c r="J44" s="1">
        <v>1004454995</v>
      </c>
      <c r="K44" s="1">
        <v>984574085</v>
      </c>
      <c r="L44" s="1" t="s">
        <v>357</v>
      </c>
      <c r="M44" s="1" t="s">
        <v>358</v>
      </c>
      <c r="N44" s="1">
        <v>992591837</v>
      </c>
      <c r="O44" s="1" t="s">
        <v>356</v>
      </c>
      <c r="P44" s="1">
        <v>1004454995</v>
      </c>
      <c r="Q44" s="1">
        <v>984574085</v>
      </c>
      <c r="R44" s="1"/>
      <c r="S44" s="1"/>
      <c r="T44" s="1"/>
    </row>
  </sheetData>
  <mergeCells count="8">
    <mergeCell ref="A1:T1"/>
    <mergeCell ref="A3:T3"/>
    <mergeCell ref="B2:H2"/>
    <mergeCell ref="I2:J2"/>
    <mergeCell ref="I4:N4"/>
    <mergeCell ref="R4:T4"/>
    <mergeCell ref="O4:Q4"/>
    <mergeCell ref="A4:H4"/>
  </mergeCells>
  <hyperlinks>
    <hyperlink ref="M15" r:id="rId1" xr:uid="{99F89827-0710-4E8C-80E5-64B979B88948}"/>
    <hyperlink ref="M27" r:id="rId2" xr:uid="{DDBE48AE-74DC-47A1-BFBF-39C92D1D040F}"/>
    <hyperlink ref="M17" r:id="rId3" xr:uid="{8891FEC3-CE09-4960-B05C-176C9D2F57E5}"/>
    <hyperlink ref="M30" r:id="rId4" xr:uid="{F9E66038-CD5C-4262-B247-79B2F78A8533}"/>
    <hyperlink ref="M7" r:id="rId5" xr:uid="{10A0732D-5E19-4CA5-AE8D-CFC0F5773538}"/>
    <hyperlink ref="M6" r:id="rId6" xr:uid="{C452F4A4-CA64-429F-8589-ADB8AC33F4D3}"/>
    <hyperlink ref="M25" r:id="rId7" xr:uid="{17818CD5-F9B8-443C-9EF8-C1ED8FDBD09D}"/>
    <hyperlink ref="M9" r:id="rId8" xr:uid="{D87DF351-0268-4F4C-A6C1-59D02B7CF2E2}"/>
    <hyperlink ref="M14" r:id="rId9" xr:uid="{C4E56F5D-A754-451D-965B-B7AB2924B4DE}"/>
    <hyperlink ref="M12" r:id="rId10" xr:uid="{DB5650D8-C604-46CA-ACE4-355A9ED68A58}"/>
    <hyperlink ref="M19" r:id="rId11" xr:uid="{007B0685-56A7-4987-B9DC-0C3CDDEFFB82}"/>
    <hyperlink ref="M23" r:id="rId12" xr:uid="{DA18942F-B4AA-498E-B45C-29D903E9C3D5}"/>
    <hyperlink ref="M35" r:id="rId13" xr:uid="{4FA0DE2D-FDAA-4153-93E2-2E19D5F8963C}"/>
    <hyperlink ref="M31" r:id="rId14" xr:uid="{0A9BAD42-3C1D-436F-8DFB-6E8B661B751B}"/>
    <hyperlink ref="M32" r:id="rId15" xr:uid="{7B9ECBDA-FDF9-4FBD-BFD7-D89B0835AD25}"/>
    <hyperlink ref="M16" r:id="rId16" xr:uid="{A36B0BDF-5517-4FEC-B0EC-252E28AA9B48}"/>
    <hyperlink ref="M40" r:id="rId17" xr:uid="{3A438857-ED1C-419D-91E3-B4B99C3B4194}"/>
    <hyperlink ref="M18" r:id="rId18" xr:uid="{3A5A975B-4E99-4207-958D-56CBE1E12754}"/>
    <hyperlink ref="M28" r:id="rId19" xr:uid="{1256959B-18F5-4FF4-B6FA-813A286186F0}"/>
    <hyperlink ref="M24" r:id="rId20" xr:uid="{2037E6AA-9A8F-4DF7-8401-2DD6AE18AF65}"/>
    <hyperlink ref="M43" r:id="rId21" xr:uid="{58C7B750-99FF-4661-86D2-7542D28043AA}"/>
    <hyperlink ref="M34" r:id="rId22" xr:uid="{B7ED241B-4F07-4256-8A0E-B82A9E12E67B}"/>
    <hyperlink ref="M13" r:id="rId23" xr:uid="{4010DFC8-A166-4846-82F9-76C6A9EF92A5}"/>
    <hyperlink ref="M8" r:id="rId24" xr:uid="{413E92F7-BB87-4C8B-A85D-0D4675A40A73}"/>
    <hyperlink ref="M41" r:id="rId25" xr:uid="{4CFB95B8-D177-4613-88C0-0B1A5BA62240}"/>
    <hyperlink ref="M20" r:id="rId26" xr:uid="{85825728-73D9-49BF-A48D-6BC286F89A45}"/>
    <hyperlink ref="M22" r:id="rId27" xr:uid="{CE3880AC-2E4E-4587-9FF4-98DBAE8A8372}"/>
    <hyperlink ref="M33" r:id="rId28" xr:uid="{226B3DE2-7B34-4C25-8AE2-07517560CA60}"/>
    <hyperlink ref="M37" r:id="rId29" xr:uid="{50C802A4-82C4-459C-9397-AA4C94F0085D}"/>
    <hyperlink ref="M42" r:id="rId30" xr:uid="{0F32C152-8A50-46BD-B68E-8BA6D03CD228}"/>
    <hyperlink ref="M10" r:id="rId31" xr:uid="{4858DED7-DC5B-45F2-A3E7-EBE767F4B492}"/>
    <hyperlink ref="M36" r:id="rId32" xr:uid="{A2A33088-15F5-47FD-9C7E-EA4A21912378}"/>
    <hyperlink ref="M26" r:id="rId33" xr:uid="{42C11252-E3BB-4145-9384-61FE7188F6DD}"/>
    <hyperlink ref="M39" r:id="rId34" xr:uid="{E96207C9-4B56-4DB5-BF4C-8F11FDB5A1F0}"/>
    <hyperlink ref="M21" r:id="rId35" xr:uid="{46FE4622-584A-47D6-9B6A-2AFDB7207A68}"/>
    <hyperlink ref="M29" r:id="rId36" xr:uid="{373F5EDE-F63D-4600-BF9D-279923664A5E}"/>
    <hyperlink ref="M38" r:id="rId37" xr:uid="{50A05CC7-0204-4E7A-979F-7C40629DE53C}"/>
  </hyperlinks>
  <pageMargins left="0.7" right="0.7" top="0.75" bottom="0.75" header="0.3" footer="0.3"/>
  <pageSetup paperSize="9" orientation="portrait" horizontalDpi="0" verticalDpi="0" r:id="rId38"/>
  <drawing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Aracely Silva Serrano</dc:creator>
  <cp:lastModifiedBy>Klever Yanez Paez</cp:lastModifiedBy>
  <dcterms:created xsi:type="dcterms:W3CDTF">2025-08-07T13:42:44Z</dcterms:created>
  <dcterms:modified xsi:type="dcterms:W3CDTF">2025-12-26T19:41:32Z</dcterms:modified>
</cp:coreProperties>
</file>